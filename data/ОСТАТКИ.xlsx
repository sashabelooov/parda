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"/>
    </mc:Choice>
  </mc:AlternateContent>
  <xr:revisionPtr revIDLastSave="0" documentId="13_ncr:1_{8B33491D-FBE8-8043-A027-084817687EE1}" xr6:coauthVersionLast="47" xr6:coauthVersionMax="47" xr10:uidLastSave="{00000000-0000-0000-0000-000000000000}"/>
  <bookViews>
    <workbookView xWindow="0" yWindow="520" windowWidth="33600" windowHeight="19060" xr2:uid="{ABE0C169-0251-2046-8CA7-8209B45CEDCF}"/>
  </bookViews>
  <sheets>
    <sheet name="Общийе остатки" sheetId="1" r:id="rId1"/>
    <sheet name="SOTILDI" sheetId="6" r:id="rId2"/>
    <sheet name="mix" sheetId="5" r:id="rId3"/>
    <sheet name="BLACKOUT" sheetId="3" r:id="rId4"/>
    <sheet name="сеточный тюль" sheetId="4" r:id="rId5"/>
    <sheet name="SHANEL" sheetId="8" r:id="rId6"/>
    <sheet name="классика" sheetId="7" r:id="rId7"/>
  </sheets>
  <definedNames>
    <definedName name="_xlnm._FilterDatabase" localSheetId="0" hidden="1">'Общийе остатки'!$A$1:$J$202</definedName>
    <definedName name="_xlnm._FilterDatabase" localSheetId="2" hidden="1">mix!$A$1:$L$93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9" i="5" l="1"/>
  <c r="L110" i="5"/>
  <c r="L111" i="5"/>
  <c r="L112" i="5"/>
  <c r="L113" i="5"/>
  <c r="L114" i="5"/>
  <c r="L115" i="5"/>
  <c r="L116" i="5"/>
  <c r="L117" i="5"/>
  <c r="L118" i="5"/>
  <c r="L119" i="5"/>
  <c r="E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2" i="5"/>
  <c r="L3" i="5"/>
  <c r="L4" i="5"/>
  <c r="L5" i="5"/>
  <c r="L6" i="5"/>
  <c r="L7" i="5"/>
  <c r="L8" i="5"/>
  <c r="L9" i="5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25" i="3"/>
  <c r="L61" i="5"/>
  <c r="F84" i="5"/>
  <c r="G83" i="5"/>
  <c r="F83" i="5"/>
  <c r="D81" i="5"/>
  <c r="D41" i="5" l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2" i="8"/>
  <c r="D63" i="5"/>
  <c r="L63" i="5" s="1"/>
  <c r="D64" i="5"/>
  <c r="L64" i="5" s="1"/>
  <c r="D62" i="5"/>
  <c r="L62" i="5" s="1"/>
  <c r="D50" i="5"/>
  <c r="L50" i="5" s="1"/>
  <c r="D49" i="5"/>
  <c r="L49" i="5" s="1"/>
  <c r="D47" i="5"/>
  <c r="L47" i="5" s="1"/>
  <c r="D51" i="5"/>
  <c r="L51" i="5" s="1"/>
  <c r="D48" i="5"/>
  <c r="L48" i="5" s="1"/>
  <c r="D54" i="5"/>
  <c r="L54" i="5" s="1"/>
  <c r="D55" i="5"/>
  <c r="L55" i="5" s="1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3" i="5"/>
  <c r="L44" i="5"/>
  <c r="L45" i="5"/>
  <c r="L46" i="5"/>
  <c r="L41" i="5"/>
  <c r="L42" i="5"/>
  <c r="L52" i="5"/>
  <c r="L53" i="5"/>
  <c r="L56" i="5"/>
  <c r="L57" i="5"/>
  <c r="L58" i="5"/>
  <c r="L59" i="5"/>
  <c r="L60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H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L23" i="3"/>
  <c r="J200" i="1"/>
  <c r="J201" i="1"/>
  <c r="J202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103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4" i="3"/>
  <c r="L2" i="3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<sst xmlns="http://schemas.openxmlformats.org/spreadsheetml/2006/main" count="561" uniqueCount="473">
  <si>
    <t xml:space="preserve">бренд </t>
  </si>
  <si>
    <t xml:space="preserve">рулон </t>
  </si>
  <si>
    <t>метраж рулона</t>
  </si>
  <si>
    <t>метраж кусок</t>
  </si>
  <si>
    <t>общий остаток</t>
  </si>
  <si>
    <t>Мадель</t>
  </si>
  <si>
    <t>1001-D</t>
  </si>
  <si>
    <t>1002-D</t>
  </si>
  <si>
    <t>1003-D</t>
  </si>
  <si>
    <t>1004-D</t>
  </si>
  <si>
    <t>1005-D</t>
  </si>
  <si>
    <t>1006-D</t>
  </si>
  <si>
    <t>1007-D</t>
  </si>
  <si>
    <t>1008-D</t>
  </si>
  <si>
    <t>1009-D</t>
  </si>
  <si>
    <t>1010-D</t>
  </si>
  <si>
    <t>1011-D</t>
  </si>
  <si>
    <t>1012-D</t>
  </si>
  <si>
    <t>1013-D</t>
  </si>
  <si>
    <t>1014-D</t>
  </si>
  <si>
    <t>1015-D</t>
  </si>
  <si>
    <t>1016-D</t>
  </si>
  <si>
    <t>1017-D</t>
  </si>
  <si>
    <t>1018-D</t>
  </si>
  <si>
    <t>1019-D</t>
  </si>
  <si>
    <t>1020-D</t>
  </si>
  <si>
    <t>1021-D</t>
  </si>
  <si>
    <t>1022-D</t>
  </si>
  <si>
    <t>1023-D</t>
  </si>
  <si>
    <t>1024-D</t>
  </si>
  <si>
    <t>1025-D</t>
  </si>
  <si>
    <t>1026-D</t>
  </si>
  <si>
    <t>1027-D</t>
  </si>
  <si>
    <t>1028-D</t>
  </si>
  <si>
    <t>1029-D</t>
  </si>
  <si>
    <t>1030-D</t>
  </si>
  <si>
    <t>1031-D</t>
  </si>
  <si>
    <t>1032-D</t>
  </si>
  <si>
    <t>1033-D</t>
  </si>
  <si>
    <t>1034-D</t>
  </si>
  <si>
    <t>1035-D</t>
  </si>
  <si>
    <t>1036-D</t>
  </si>
  <si>
    <t>1037-D</t>
  </si>
  <si>
    <t>1038-D</t>
  </si>
  <si>
    <t>1039-D</t>
  </si>
  <si>
    <t>1040-D</t>
  </si>
  <si>
    <t>1041-D</t>
  </si>
  <si>
    <t>1042-D</t>
  </si>
  <si>
    <t>1043-D</t>
  </si>
  <si>
    <t>1044-D</t>
  </si>
  <si>
    <t>1045-D</t>
  </si>
  <si>
    <t>1046-D</t>
  </si>
  <si>
    <t>1047-D</t>
  </si>
  <si>
    <t>1048-D</t>
  </si>
  <si>
    <t>1049-D</t>
  </si>
  <si>
    <t>1050-D</t>
  </si>
  <si>
    <t>метраж кусок витрина</t>
  </si>
  <si>
    <t>1051-D</t>
  </si>
  <si>
    <t>1052-D</t>
  </si>
  <si>
    <t>1053-D</t>
  </si>
  <si>
    <t>1054-D</t>
  </si>
  <si>
    <t>1055-D</t>
  </si>
  <si>
    <t>1056-D</t>
  </si>
  <si>
    <t>1057-D</t>
  </si>
  <si>
    <t>1058-D</t>
  </si>
  <si>
    <t>1059-D</t>
  </si>
  <si>
    <t>1060-D</t>
  </si>
  <si>
    <t>1061-D</t>
  </si>
  <si>
    <t>1062-D</t>
  </si>
  <si>
    <t>1063-D</t>
  </si>
  <si>
    <t>1064-D</t>
  </si>
  <si>
    <t>1065-D</t>
  </si>
  <si>
    <t>1066-D</t>
  </si>
  <si>
    <t>1067-D</t>
  </si>
  <si>
    <t>1068-D</t>
  </si>
  <si>
    <t>1069-D</t>
  </si>
  <si>
    <t>1070-D</t>
  </si>
  <si>
    <t>1071-D</t>
  </si>
  <si>
    <t>1072-D</t>
  </si>
  <si>
    <t>1073-D</t>
  </si>
  <si>
    <t>1074-D</t>
  </si>
  <si>
    <t>1101-D</t>
  </si>
  <si>
    <t>1075-D</t>
  </si>
  <si>
    <t>1076-D</t>
  </si>
  <si>
    <t>1077-D</t>
  </si>
  <si>
    <t>1078-D</t>
  </si>
  <si>
    <t>1079-D</t>
  </si>
  <si>
    <t>1080-D</t>
  </si>
  <si>
    <t>1081-D</t>
  </si>
  <si>
    <t>1082-D</t>
  </si>
  <si>
    <t>1083-D</t>
  </si>
  <si>
    <t>1084-D</t>
  </si>
  <si>
    <t>1085-D</t>
  </si>
  <si>
    <t>1086-D</t>
  </si>
  <si>
    <t>1087-D</t>
  </si>
  <si>
    <t>1088-D</t>
  </si>
  <si>
    <t>1089-D</t>
  </si>
  <si>
    <t>1090-D</t>
  </si>
  <si>
    <t>1091-D</t>
  </si>
  <si>
    <t>1092-D</t>
  </si>
  <si>
    <t>1093-D</t>
  </si>
  <si>
    <t>1094-D</t>
  </si>
  <si>
    <t>1095-D</t>
  </si>
  <si>
    <t>1096-D</t>
  </si>
  <si>
    <t>1097-D</t>
  </si>
  <si>
    <t>1098-D</t>
  </si>
  <si>
    <t>1099-D</t>
  </si>
  <si>
    <t>1100-D</t>
  </si>
  <si>
    <t>21-0422</t>
  </si>
  <si>
    <t>V-118</t>
  </si>
  <si>
    <t>3000-W</t>
  </si>
  <si>
    <t>3001-W</t>
  </si>
  <si>
    <t>3002-W</t>
  </si>
  <si>
    <t>3003-W</t>
  </si>
  <si>
    <t>8001-T</t>
  </si>
  <si>
    <t>8002-T</t>
  </si>
  <si>
    <t>8003-T</t>
  </si>
  <si>
    <t>8004-T</t>
  </si>
  <si>
    <t>8005-T</t>
  </si>
  <si>
    <t>8006-T</t>
  </si>
  <si>
    <t>8007-T</t>
  </si>
  <si>
    <t>8008-T</t>
  </si>
  <si>
    <t>8009-T</t>
  </si>
  <si>
    <t>8010-T</t>
  </si>
  <si>
    <t>8011-T</t>
  </si>
  <si>
    <t>8012-T</t>
  </si>
  <si>
    <t>8013-T</t>
  </si>
  <si>
    <t>8014-T</t>
  </si>
  <si>
    <t>8015-T</t>
  </si>
  <si>
    <t>8016-T</t>
  </si>
  <si>
    <t>8017-T</t>
  </si>
  <si>
    <t>8018-T</t>
  </si>
  <si>
    <t>8019-T</t>
  </si>
  <si>
    <t>8020-T</t>
  </si>
  <si>
    <t>8021-T</t>
  </si>
  <si>
    <t>8022-T</t>
  </si>
  <si>
    <t>8023-T</t>
  </si>
  <si>
    <t>8024-T</t>
  </si>
  <si>
    <t>8025-T</t>
  </si>
  <si>
    <t>8026-T</t>
  </si>
  <si>
    <t>8027-T</t>
  </si>
  <si>
    <t>8028-T</t>
  </si>
  <si>
    <t>8029-T</t>
  </si>
  <si>
    <t>8030-T</t>
  </si>
  <si>
    <t>8031-T</t>
  </si>
  <si>
    <t>8032-T</t>
  </si>
  <si>
    <t>8033-T</t>
  </si>
  <si>
    <t>8034-T</t>
  </si>
  <si>
    <t>8035-T</t>
  </si>
  <si>
    <t>8036-T</t>
  </si>
  <si>
    <t>8037-T</t>
  </si>
  <si>
    <t>8038-T</t>
  </si>
  <si>
    <t>8041-T</t>
  </si>
  <si>
    <t>8042-T</t>
  </si>
  <si>
    <t>8043-T</t>
  </si>
  <si>
    <t>8044-T</t>
  </si>
  <si>
    <t>8045-T</t>
  </si>
  <si>
    <t>8046-T</t>
  </si>
  <si>
    <t>8047-T</t>
  </si>
  <si>
    <t>8048-T</t>
  </si>
  <si>
    <t>8049-T</t>
  </si>
  <si>
    <t>8050-T</t>
  </si>
  <si>
    <t>8051-T</t>
  </si>
  <si>
    <t>8052-T</t>
  </si>
  <si>
    <t>8053-T</t>
  </si>
  <si>
    <t>8054-T</t>
  </si>
  <si>
    <t>8055-T</t>
  </si>
  <si>
    <t>8056-T</t>
  </si>
  <si>
    <t>8057-T</t>
  </si>
  <si>
    <t>8058-T</t>
  </si>
  <si>
    <t>8059-T</t>
  </si>
  <si>
    <t>8060-T</t>
  </si>
  <si>
    <t>8061-T</t>
  </si>
  <si>
    <t>8062-T</t>
  </si>
  <si>
    <t>8063-T</t>
  </si>
  <si>
    <t>8064-T</t>
  </si>
  <si>
    <t>8066-T</t>
  </si>
  <si>
    <t>8065-T</t>
  </si>
  <si>
    <t>8067-T</t>
  </si>
  <si>
    <t>8068-T</t>
  </si>
  <si>
    <t>8069-T</t>
  </si>
  <si>
    <t>8070-T</t>
  </si>
  <si>
    <t>8071-T</t>
  </si>
  <si>
    <t>8072-T</t>
  </si>
  <si>
    <t>8073-T</t>
  </si>
  <si>
    <t>8074-T</t>
  </si>
  <si>
    <t>8075-T</t>
  </si>
  <si>
    <t>8076-T</t>
  </si>
  <si>
    <t>8077-T</t>
  </si>
  <si>
    <t>8078-T</t>
  </si>
  <si>
    <t>8079-T</t>
  </si>
  <si>
    <t>8080-T</t>
  </si>
  <si>
    <t>8081-T</t>
  </si>
  <si>
    <t>8082-T</t>
  </si>
  <si>
    <t>8083-T</t>
  </si>
  <si>
    <t>8084-T</t>
  </si>
  <si>
    <t>8085-T</t>
  </si>
  <si>
    <t>8086-T</t>
  </si>
  <si>
    <t>8087-T</t>
  </si>
  <si>
    <t>8088-T</t>
  </si>
  <si>
    <t>8089-T</t>
  </si>
  <si>
    <t>8090-T</t>
  </si>
  <si>
    <t>8091-T</t>
  </si>
  <si>
    <t>8092-T</t>
  </si>
  <si>
    <t>8093-T</t>
  </si>
  <si>
    <t>8095-T</t>
  </si>
  <si>
    <t>8096-T</t>
  </si>
  <si>
    <t>8097-T</t>
  </si>
  <si>
    <t>8098-T</t>
  </si>
  <si>
    <t>8099-T</t>
  </si>
  <si>
    <t>8100-T</t>
  </si>
  <si>
    <t>1102-D</t>
  </si>
  <si>
    <t>1103-D</t>
  </si>
  <si>
    <t>1104-D</t>
  </si>
  <si>
    <t>1105-D</t>
  </si>
  <si>
    <t>1106-D</t>
  </si>
  <si>
    <t>1107-D</t>
  </si>
  <si>
    <t>1108-D</t>
  </si>
  <si>
    <t>1109-D</t>
  </si>
  <si>
    <t>1110-D</t>
  </si>
  <si>
    <t>1111-D</t>
  </si>
  <si>
    <t>1112-D</t>
  </si>
  <si>
    <t>1113-D</t>
  </si>
  <si>
    <t>1114-D</t>
  </si>
  <si>
    <t>1115-D</t>
  </si>
  <si>
    <t>1116-D</t>
  </si>
  <si>
    <t>1117-D</t>
  </si>
  <si>
    <t>1118-D</t>
  </si>
  <si>
    <t>1119-D</t>
  </si>
  <si>
    <t>1120-D</t>
  </si>
  <si>
    <t>1121-D</t>
  </si>
  <si>
    <t>1122-D</t>
  </si>
  <si>
    <t>1123-D</t>
  </si>
  <si>
    <t>1124-D</t>
  </si>
  <si>
    <t>1125-D</t>
  </si>
  <si>
    <t>1126-D</t>
  </si>
  <si>
    <t>1127-D</t>
  </si>
  <si>
    <t>1128-D</t>
  </si>
  <si>
    <t>1129-D</t>
  </si>
  <si>
    <t>1130-D</t>
  </si>
  <si>
    <t>1131-D</t>
  </si>
  <si>
    <t>1132-D</t>
  </si>
  <si>
    <t>1133-D</t>
  </si>
  <si>
    <t>1134-D</t>
  </si>
  <si>
    <t>1135-D</t>
  </si>
  <si>
    <t>1136-D</t>
  </si>
  <si>
    <t>1137-D</t>
  </si>
  <si>
    <t>1138-D</t>
  </si>
  <si>
    <t>1139-D</t>
  </si>
  <si>
    <t>1140-D</t>
  </si>
  <si>
    <t>1141-D</t>
  </si>
  <si>
    <t>1142-D</t>
  </si>
  <si>
    <t>1143-D</t>
  </si>
  <si>
    <t>1144-D</t>
  </si>
  <si>
    <t>1145-D</t>
  </si>
  <si>
    <t>1146-D</t>
  </si>
  <si>
    <t>1147-D</t>
  </si>
  <si>
    <t>1148-D</t>
  </si>
  <si>
    <t>1149-D</t>
  </si>
  <si>
    <t>1150-D</t>
  </si>
  <si>
    <t>1151-D</t>
  </si>
  <si>
    <t>1152-D</t>
  </si>
  <si>
    <t>1153-D</t>
  </si>
  <si>
    <t>1154-D</t>
  </si>
  <si>
    <t>1155-D</t>
  </si>
  <si>
    <t>1156-D</t>
  </si>
  <si>
    <t>1157-D</t>
  </si>
  <si>
    <t>1158-D</t>
  </si>
  <si>
    <t>1159-D</t>
  </si>
  <si>
    <t>1160-D</t>
  </si>
  <si>
    <t>1161-D</t>
  </si>
  <si>
    <t>1162-D</t>
  </si>
  <si>
    <t>1163-D</t>
  </si>
  <si>
    <t>1164-D</t>
  </si>
  <si>
    <t>1165-D</t>
  </si>
  <si>
    <t>1166-D</t>
  </si>
  <si>
    <t>1167-D</t>
  </si>
  <si>
    <t>1168-D</t>
  </si>
  <si>
    <t>1169-D</t>
  </si>
  <si>
    <t>1170-D</t>
  </si>
  <si>
    <t>1171-D</t>
  </si>
  <si>
    <t>1172-D</t>
  </si>
  <si>
    <t>1173-D</t>
  </si>
  <si>
    <t>1174-D</t>
  </si>
  <si>
    <t>1175-D</t>
  </si>
  <si>
    <t>1176-D</t>
  </si>
  <si>
    <t>1177-D</t>
  </si>
  <si>
    <t>1178-D</t>
  </si>
  <si>
    <t>1179-D</t>
  </si>
  <si>
    <t>1180-D</t>
  </si>
  <si>
    <t>1181-D</t>
  </si>
  <si>
    <t>1182-D</t>
  </si>
  <si>
    <t>1183-D</t>
  </si>
  <si>
    <t>1184-D</t>
  </si>
  <si>
    <t>1185-D</t>
  </si>
  <si>
    <t>1186-D</t>
  </si>
  <si>
    <t>1187-D</t>
  </si>
  <si>
    <t>1188-D</t>
  </si>
  <si>
    <t>1189-D</t>
  </si>
  <si>
    <t>1190-D</t>
  </si>
  <si>
    <t>1191-D</t>
  </si>
  <si>
    <t>1192-D</t>
  </si>
  <si>
    <t>1193-D</t>
  </si>
  <si>
    <t>1194-D</t>
  </si>
  <si>
    <t>1195-D</t>
  </si>
  <si>
    <t>1196-D</t>
  </si>
  <si>
    <t>1197-D</t>
  </si>
  <si>
    <t>1198-D</t>
  </si>
  <si>
    <t>1199-D</t>
  </si>
  <si>
    <t>1200-D</t>
  </si>
  <si>
    <t>OY12-S15</t>
  </si>
  <si>
    <t>OY12-S10</t>
  </si>
  <si>
    <t>OY12-S5</t>
  </si>
  <si>
    <t>OY19S-5</t>
  </si>
  <si>
    <t>OY19S-3</t>
  </si>
  <si>
    <t>OY19S-11</t>
  </si>
  <si>
    <t>OY19S-7</t>
  </si>
  <si>
    <t>OY19S-1</t>
  </si>
  <si>
    <t>?</t>
  </si>
  <si>
    <t>SOTILDI</t>
  </si>
  <si>
    <t>23.09.2025</t>
  </si>
  <si>
    <t>25.09.2025</t>
  </si>
  <si>
    <t>HJ806-5</t>
  </si>
  <si>
    <t>4001-K</t>
  </si>
  <si>
    <t>4002-K</t>
  </si>
  <si>
    <t>4003-K</t>
  </si>
  <si>
    <t>4004-K</t>
  </si>
  <si>
    <t>4005-K</t>
  </si>
  <si>
    <t>4006-K</t>
  </si>
  <si>
    <t>4007-K</t>
  </si>
  <si>
    <t>4008-K</t>
  </si>
  <si>
    <t>4009-K</t>
  </si>
  <si>
    <t>4010-K</t>
  </si>
  <si>
    <t>4011-K</t>
  </si>
  <si>
    <t>4012-K</t>
  </si>
  <si>
    <t>4013-K</t>
  </si>
  <si>
    <t>4014-K</t>
  </si>
  <si>
    <t>4015-K</t>
  </si>
  <si>
    <t>4016-K</t>
  </si>
  <si>
    <t>4017-K</t>
  </si>
  <si>
    <t>4018-K</t>
  </si>
  <si>
    <t>4019-K</t>
  </si>
  <si>
    <t>4020-K</t>
  </si>
  <si>
    <t>4021-K</t>
  </si>
  <si>
    <t>4022-K</t>
  </si>
  <si>
    <t>4023-K</t>
  </si>
  <si>
    <t>4024-K</t>
  </si>
  <si>
    <t>4025-K</t>
  </si>
  <si>
    <t>4026-K</t>
  </si>
  <si>
    <t>4027-K</t>
  </si>
  <si>
    <t>4028-K</t>
  </si>
  <si>
    <t>4029-K</t>
  </si>
  <si>
    <t>4030-K</t>
  </si>
  <si>
    <t>4031-K</t>
  </si>
  <si>
    <t>4032-K</t>
  </si>
  <si>
    <t>4033-K</t>
  </si>
  <si>
    <t>4034-K</t>
  </si>
  <si>
    <t>4035-K</t>
  </si>
  <si>
    <t>4036-K</t>
  </si>
  <si>
    <t>4037-K</t>
  </si>
  <si>
    <t>4038-K</t>
  </si>
  <si>
    <t>4039-K</t>
  </si>
  <si>
    <t>4040-K</t>
  </si>
  <si>
    <t>SCR815248-809</t>
  </si>
  <si>
    <t>AMOUR-16</t>
  </si>
  <si>
    <t>AMOUR-1</t>
  </si>
  <si>
    <t>AMOUR-15</t>
  </si>
  <si>
    <t>ESTRELLA-16589</t>
  </si>
  <si>
    <t>ESTRELLA-16595</t>
  </si>
  <si>
    <t>ESTRELLA-16569</t>
  </si>
  <si>
    <t>ESTRELLA-16586</t>
  </si>
  <si>
    <t>CALIPSO-922</t>
  </si>
  <si>
    <t>CALIPSO-914</t>
  </si>
  <si>
    <t>04.10.2025</t>
  </si>
  <si>
    <t>AMOUR-13</t>
  </si>
  <si>
    <t>VITRINA</t>
  </si>
  <si>
    <t>2034-12</t>
  </si>
  <si>
    <t>2034-35</t>
  </si>
  <si>
    <t>HJ806-4</t>
  </si>
  <si>
    <t>HJ806-20</t>
  </si>
  <si>
    <t>HJ806-3</t>
  </si>
  <si>
    <t>HJ806-22</t>
  </si>
  <si>
    <t>HJ806-2</t>
  </si>
  <si>
    <t>ANGORA-9732</t>
  </si>
  <si>
    <t>ANGORA-16083</t>
  </si>
  <si>
    <t>ANGORA-9715</t>
  </si>
  <si>
    <t>ANGORA-10948</t>
  </si>
  <si>
    <t>2090-5</t>
  </si>
  <si>
    <t>2090-3</t>
  </si>
  <si>
    <t>HJ806-19</t>
  </si>
  <si>
    <t>HJ806-21</t>
  </si>
  <si>
    <t>2034-46</t>
  </si>
  <si>
    <t>2034-45</t>
  </si>
  <si>
    <t>2034-13</t>
  </si>
  <si>
    <t>2034-25</t>
  </si>
  <si>
    <t>12000-04</t>
  </si>
  <si>
    <t>12000-06</t>
  </si>
  <si>
    <t>12300-04</t>
  </si>
  <si>
    <t>ESTRELLA-16583</t>
  </si>
  <si>
    <t>ESTRELLA-16566</t>
  </si>
  <si>
    <t>ESTRELLA-16576</t>
  </si>
  <si>
    <t>ESTRELLA-16575</t>
  </si>
  <si>
    <t>ESTRELLA-16573</t>
  </si>
  <si>
    <t>2090-1</t>
  </si>
  <si>
    <t>2090-4</t>
  </si>
  <si>
    <t>2090-9</t>
  </si>
  <si>
    <t>2088-3</t>
  </si>
  <si>
    <t>2088-4</t>
  </si>
  <si>
    <t>2088-2</t>
  </si>
  <si>
    <t>TERAS-53</t>
  </si>
  <si>
    <t>TERAS-11</t>
  </si>
  <si>
    <t>TERAS-52</t>
  </si>
  <si>
    <t>TERAS-51</t>
  </si>
  <si>
    <t>TERAS-31</t>
  </si>
  <si>
    <t>65591-758</t>
  </si>
  <si>
    <t>65591-757</t>
  </si>
  <si>
    <t>65591-766</t>
  </si>
  <si>
    <t>65591-764</t>
  </si>
  <si>
    <t>65560-702</t>
  </si>
  <si>
    <t>65560-712</t>
  </si>
  <si>
    <t>65560-709</t>
  </si>
  <si>
    <t>65560-710</t>
  </si>
  <si>
    <t>65560-715</t>
  </si>
  <si>
    <t>CALIPSO-684-1303</t>
  </si>
  <si>
    <t>CALIPSO-684-107</t>
  </si>
  <si>
    <t>CALIPSO-684-403</t>
  </si>
  <si>
    <t>65563-922</t>
  </si>
  <si>
    <t>65563-914</t>
  </si>
  <si>
    <t>65563-777</t>
  </si>
  <si>
    <t>65563-111</t>
  </si>
  <si>
    <t>KILO-1</t>
  </si>
  <si>
    <t>KILO-2</t>
  </si>
  <si>
    <t>KILO-3</t>
  </si>
  <si>
    <t>KILO-4</t>
  </si>
  <si>
    <t>720-21</t>
  </si>
  <si>
    <t>720-4</t>
  </si>
  <si>
    <t>DIAMOND-1</t>
  </si>
  <si>
    <t>DIAMOND-2</t>
  </si>
  <si>
    <t>DIAMOND-3</t>
  </si>
  <si>
    <t>DIAMOND-4</t>
  </si>
  <si>
    <t>DIAMOND-5</t>
  </si>
  <si>
    <t>48940-21K</t>
  </si>
  <si>
    <t>48940-13K</t>
  </si>
  <si>
    <t>48940-03K</t>
  </si>
  <si>
    <t>48940-02</t>
  </si>
  <si>
    <t>PAUK-1</t>
  </si>
  <si>
    <t>PAUK-2</t>
  </si>
  <si>
    <t>PAUK-3</t>
  </si>
  <si>
    <t>9201-K</t>
  </si>
  <si>
    <t>9203-K</t>
  </si>
  <si>
    <t>9401-K</t>
  </si>
  <si>
    <t>2502-K</t>
  </si>
  <si>
    <t>V-4001</t>
  </si>
  <si>
    <t>V-4005</t>
  </si>
  <si>
    <t>V-4002</t>
  </si>
  <si>
    <t>V-4004</t>
  </si>
  <si>
    <t>ROMB-1</t>
  </si>
  <si>
    <t>ROMB-2</t>
  </si>
  <si>
    <t>ROMB-3</t>
  </si>
  <si>
    <t>ROMB-4</t>
  </si>
  <si>
    <t>DEKOPANEL-02</t>
  </si>
  <si>
    <t>DEKOPANEL-03</t>
  </si>
  <si>
    <t>DEKOPANEL-11</t>
  </si>
  <si>
    <t>DEKOPANEL-20</t>
  </si>
  <si>
    <t>DEKOPANEL-21</t>
  </si>
  <si>
    <t>DEKOPANEL-22</t>
  </si>
  <si>
    <t>DEKOPANEL-30</t>
  </si>
  <si>
    <t>DEKOPANEL-31</t>
  </si>
  <si>
    <t>DEKOPANEL-32</t>
  </si>
  <si>
    <t>42350-15-k</t>
  </si>
  <si>
    <t>9202-K</t>
  </si>
  <si>
    <t>TERAS-08</t>
  </si>
  <si>
    <t>720-3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</si>
</sst>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2" xfId="0" applyFont="1" applyBorder="1"/>
    <xf numFmtId="0" fontId="3" fillId="0" borderId="2" xfId="0" applyFont="1" applyBorder="1"/>
    <xf numFmtId="0" fontId="2" fillId="3" borderId="3" xfId="0" applyFont="1" applyFill="1" applyBorder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" xfId="0" applyFont="1" applyBorder="1"/>
    <xf numFmtId="0" fontId="0" fillId="0" borderId="12" xfId="0" applyBorder="1"/>
    <xf numFmtId="0" fontId="4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317D-2A05-574E-9E82-3A99FC415215}">
  <dimension ref="A1:J206"/>
  <sheetViews>
    <sheetView tabSelected="1" topLeftCell="A52" workbookViewId="0">
      <selection activeCell="A90" sqref="A90:XFD90"/>
    </sheetView>
  </sheetViews>
  <sheetFormatPr baseColWidth="10" defaultColWidth="18.1640625" defaultRowHeight="16" x14ac:dyDescent="0.2"/>
  <cols>
    <col min="1" max="1" width="9.33203125" bestFit="1" customWidth="1"/>
    <col min="5" max="5" width="22.83203125" bestFit="1" customWidth="1"/>
  </cols>
  <sheetData>
    <row r="1" spans="1:10" x14ac:dyDescent="0.2">
      <c r="A1" s="1" t="s">
        <v>0</v>
      </c>
      <c r="B1" s="1" t="s">
        <v>5</v>
      </c>
      <c r="C1" s="1" t="s">
        <v>1</v>
      </c>
      <c r="D1" s="1" t="s">
        <v>2</v>
      </c>
      <c r="E1" s="1" t="s">
        <v>56</v>
      </c>
      <c r="F1" s="1" t="s">
        <v>3</v>
      </c>
      <c r="G1" s="1" t="s">
        <v>3</v>
      </c>
      <c r="H1" s="1" t="s">
        <v>3</v>
      </c>
      <c r="I1" s="1" t="s">
        <v>3</v>
      </c>
      <c r="J1" s="2" t="s">
        <v>4</v>
      </c>
    </row>
    <row r="2" spans="1:10" x14ac:dyDescent="0.2">
      <c r="A2" s="1"/>
      <c r="B2" s="3" t="s">
        <v>6</v>
      </c>
      <c r="C2" s="1"/>
      <c r="D2" s="1"/>
      <c r="E2" s="1">
        <v>4.4000000000000004</v>
      </c>
      <c r="F2" s="1"/>
      <c r="G2" s="1"/>
      <c r="H2" s="1"/>
      <c r="I2" s="1"/>
      <c r="J2" s="1">
        <f t="shared" ref="J2:J33" si="0">+C2*D2+E2+F2+G2+H2+I2</f>
        <v>4.4000000000000004</v>
      </c>
    </row>
    <row r="3" spans="1:10" x14ac:dyDescent="0.2">
      <c r="A3" s="1"/>
      <c r="B3" s="3" t="s">
        <v>7</v>
      </c>
      <c r="C3" s="1"/>
      <c r="D3" s="1"/>
      <c r="E3" s="1">
        <v>7.5</v>
      </c>
      <c r="F3" s="1"/>
      <c r="G3" s="1"/>
      <c r="H3" s="1"/>
      <c r="I3" s="1"/>
      <c r="J3" s="1">
        <f t="shared" si="0"/>
        <v>7.5</v>
      </c>
    </row>
    <row r="4" spans="1:10" x14ac:dyDescent="0.2">
      <c r="A4" s="1"/>
      <c r="B4" s="3" t="s">
        <v>8</v>
      </c>
      <c r="C4" s="1"/>
      <c r="D4" s="1"/>
      <c r="E4" s="1">
        <v>3.5</v>
      </c>
      <c r="F4" s="1"/>
      <c r="G4" s="1"/>
      <c r="H4" s="1"/>
      <c r="I4" s="1"/>
      <c r="J4" s="1">
        <f t="shared" si="0"/>
        <v>3.5</v>
      </c>
    </row>
    <row r="5" spans="1:10" x14ac:dyDescent="0.2">
      <c r="A5" s="1"/>
      <c r="B5" s="3" t="s">
        <v>9</v>
      </c>
      <c r="C5" s="1"/>
      <c r="D5" s="1"/>
      <c r="E5" s="1">
        <v>4.3</v>
      </c>
      <c r="F5" s="1"/>
      <c r="G5" s="1"/>
      <c r="H5" s="1"/>
      <c r="I5" s="1"/>
      <c r="J5" s="1">
        <f t="shared" si="0"/>
        <v>4.3</v>
      </c>
    </row>
    <row r="6" spans="1:10" x14ac:dyDescent="0.2">
      <c r="A6" s="1"/>
      <c r="B6" s="3" t="s">
        <v>10</v>
      </c>
      <c r="C6" s="1"/>
      <c r="D6" s="1"/>
      <c r="E6" s="1">
        <v>4.3</v>
      </c>
      <c r="F6" s="1"/>
      <c r="G6" s="1"/>
      <c r="H6" s="1"/>
      <c r="I6" s="1"/>
      <c r="J6" s="1">
        <f t="shared" si="0"/>
        <v>4.3</v>
      </c>
    </row>
    <row r="7" spans="1:10" x14ac:dyDescent="0.2">
      <c r="A7" s="1"/>
      <c r="B7" s="3" t="s">
        <v>11</v>
      </c>
      <c r="C7" s="1"/>
      <c r="D7" s="1"/>
      <c r="E7" s="1">
        <v>4.4000000000000004</v>
      </c>
      <c r="F7" s="1"/>
      <c r="G7" s="1"/>
      <c r="H7" s="1"/>
      <c r="I7" s="1"/>
      <c r="J7" s="1">
        <f t="shared" si="0"/>
        <v>4.4000000000000004</v>
      </c>
    </row>
    <row r="8" spans="1:10" x14ac:dyDescent="0.2">
      <c r="A8" s="1"/>
      <c r="B8" s="3" t="s">
        <v>12</v>
      </c>
      <c r="C8" s="1"/>
      <c r="D8" s="1"/>
      <c r="E8" s="1">
        <v>4.7</v>
      </c>
      <c r="F8" s="1"/>
      <c r="G8" s="1"/>
      <c r="H8" s="1"/>
      <c r="I8" s="1"/>
      <c r="J8" s="1">
        <f t="shared" si="0"/>
        <v>4.7</v>
      </c>
    </row>
    <row r="9" spans="1:10" x14ac:dyDescent="0.2">
      <c r="A9" s="1"/>
      <c r="B9" s="3" t="s">
        <v>13</v>
      </c>
      <c r="C9" s="1"/>
      <c r="D9" s="1"/>
      <c r="E9" s="1">
        <v>7.6</v>
      </c>
      <c r="F9" s="1"/>
      <c r="G9" s="1"/>
      <c r="H9" s="1"/>
      <c r="I9" s="1"/>
      <c r="J9" s="1">
        <f t="shared" si="0"/>
        <v>7.6</v>
      </c>
    </row>
    <row r="10" spans="1:10" x14ac:dyDescent="0.2">
      <c r="A10" s="1"/>
      <c r="B10" s="3" t="s">
        <v>14</v>
      </c>
      <c r="C10" s="1"/>
      <c r="D10" s="1"/>
      <c r="E10" s="1">
        <v>4.8</v>
      </c>
      <c r="F10" s="1"/>
      <c r="G10" s="1"/>
      <c r="H10" s="1"/>
      <c r="I10" s="1"/>
      <c r="J10" s="1">
        <f t="shared" si="0"/>
        <v>4.8</v>
      </c>
    </row>
    <row r="11" spans="1:10" x14ac:dyDescent="0.2">
      <c r="A11" s="1"/>
      <c r="B11" s="3" t="s">
        <v>15</v>
      </c>
      <c r="C11" s="1"/>
      <c r="D11" s="1"/>
      <c r="E11" s="1">
        <v>7.8</v>
      </c>
      <c r="F11" s="1"/>
      <c r="G11" s="1"/>
      <c r="H11" s="1"/>
      <c r="I11" s="1"/>
      <c r="J11" s="1">
        <f t="shared" si="0"/>
        <v>7.8</v>
      </c>
    </row>
    <row r="12" spans="1:10" x14ac:dyDescent="0.2">
      <c r="A12" s="1"/>
      <c r="B12" s="3" t="s">
        <v>16</v>
      </c>
      <c r="C12" s="1"/>
      <c r="D12" s="1"/>
      <c r="E12" s="1">
        <v>3.8</v>
      </c>
      <c r="F12" s="1"/>
      <c r="G12" s="1"/>
      <c r="H12" s="1"/>
      <c r="I12" s="1"/>
      <c r="J12" s="1">
        <f t="shared" si="0"/>
        <v>3.8</v>
      </c>
    </row>
    <row r="13" spans="1:10" x14ac:dyDescent="0.2">
      <c r="A13" s="1"/>
      <c r="B13" s="3" t="s">
        <v>17</v>
      </c>
      <c r="C13" s="1"/>
      <c r="D13" s="1"/>
      <c r="E13" s="1">
        <v>4.3499999999999996</v>
      </c>
      <c r="F13" s="1"/>
      <c r="G13" s="1"/>
      <c r="H13" s="1"/>
      <c r="I13" s="1"/>
      <c r="J13" s="1">
        <f t="shared" si="0"/>
        <v>4.3499999999999996</v>
      </c>
    </row>
    <row r="14" spans="1:10" x14ac:dyDescent="0.2">
      <c r="A14" s="1"/>
      <c r="B14" s="3" t="s">
        <v>18</v>
      </c>
      <c r="C14" s="1"/>
      <c r="D14" s="1"/>
      <c r="E14" s="1">
        <v>4.55</v>
      </c>
      <c r="F14" s="1"/>
      <c r="G14" s="1"/>
      <c r="H14" s="1"/>
      <c r="I14" s="1"/>
      <c r="J14" s="1">
        <f t="shared" si="0"/>
        <v>4.55</v>
      </c>
    </row>
    <row r="15" spans="1:10" x14ac:dyDescent="0.2">
      <c r="A15" s="1"/>
      <c r="B15" s="3" t="s">
        <v>19</v>
      </c>
      <c r="C15" s="1"/>
      <c r="D15" s="1"/>
      <c r="E15" s="1">
        <v>4.7</v>
      </c>
      <c r="F15" s="1"/>
      <c r="G15" s="1"/>
      <c r="H15" s="1"/>
      <c r="I15" s="1"/>
      <c r="J15" s="1">
        <f t="shared" si="0"/>
        <v>4.7</v>
      </c>
    </row>
    <row r="16" spans="1:10" x14ac:dyDescent="0.2">
      <c r="A16" s="1"/>
      <c r="B16" s="3" t="s">
        <v>20</v>
      </c>
      <c r="C16" s="1"/>
      <c r="D16" s="1"/>
      <c r="E16" s="1">
        <v>6</v>
      </c>
      <c r="F16" s="1"/>
      <c r="G16" s="1"/>
      <c r="H16" s="1"/>
      <c r="I16" s="1"/>
      <c r="J16" s="1">
        <f t="shared" si="0"/>
        <v>6</v>
      </c>
    </row>
    <row r="17" spans="1:10" x14ac:dyDescent="0.2">
      <c r="A17" s="1"/>
      <c r="B17" s="3" t="s">
        <v>21</v>
      </c>
      <c r="C17" s="1"/>
      <c r="D17" s="1"/>
      <c r="E17" s="1">
        <v>3.7</v>
      </c>
      <c r="F17" s="1"/>
      <c r="G17" s="1"/>
      <c r="H17" s="1"/>
      <c r="I17" s="1"/>
      <c r="J17" s="1">
        <f t="shared" si="0"/>
        <v>3.7</v>
      </c>
    </row>
    <row r="18" spans="1:10" x14ac:dyDescent="0.2">
      <c r="A18" s="1"/>
      <c r="B18" s="3" t="s">
        <v>22</v>
      </c>
      <c r="C18" s="1"/>
      <c r="D18" s="1"/>
      <c r="E18" s="1">
        <v>5.6</v>
      </c>
      <c r="F18" s="1"/>
      <c r="G18" s="1"/>
      <c r="H18" s="1"/>
      <c r="I18" s="1"/>
      <c r="J18" s="1">
        <f t="shared" si="0"/>
        <v>5.6</v>
      </c>
    </row>
    <row r="19" spans="1:10" x14ac:dyDescent="0.2">
      <c r="A19" s="1"/>
      <c r="B19" s="3" t="s">
        <v>23</v>
      </c>
      <c r="C19" s="1"/>
      <c r="D19" s="1"/>
      <c r="E19" s="1">
        <v>5.0999999999999996</v>
      </c>
      <c r="F19" s="1"/>
      <c r="G19" s="1"/>
      <c r="H19" s="1"/>
      <c r="I19" s="1"/>
      <c r="J19" s="1">
        <f t="shared" si="0"/>
        <v>5.0999999999999996</v>
      </c>
    </row>
    <row r="20" spans="1:10" x14ac:dyDescent="0.2">
      <c r="A20" s="1"/>
      <c r="B20" s="3" t="s">
        <v>24</v>
      </c>
      <c r="C20" s="1"/>
      <c r="D20" s="1"/>
      <c r="E20" s="1">
        <v>4.6500000000000004</v>
      </c>
      <c r="F20" s="1"/>
      <c r="G20" s="1"/>
      <c r="H20" s="1"/>
      <c r="I20" s="1"/>
      <c r="J20" s="1">
        <f t="shared" si="0"/>
        <v>4.6500000000000004</v>
      </c>
    </row>
    <row r="21" spans="1:10" x14ac:dyDescent="0.2">
      <c r="A21" s="1"/>
      <c r="B21" s="3" t="s">
        <v>25</v>
      </c>
      <c r="C21" s="1"/>
      <c r="D21" s="1"/>
      <c r="E21" s="1">
        <v>4.4000000000000004</v>
      </c>
      <c r="F21" s="1"/>
      <c r="G21" s="1"/>
      <c r="H21" s="1"/>
      <c r="I21" s="1"/>
      <c r="J21" s="1">
        <f t="shared" si="0"/>
        <v>4.4000000000000004</v>
      </c>
    </row>
    <row r="22" spans="1:10" x14ac:dyDescent="0.2">
      <c r="A22" s="1"/>
      <c r="B22" s="3" t="s">
        <v>26</v>
      </c>
      <c r="C22" s="1"/>
      <c r="D22" s="1"/>
      <c r="E22" s="1">
        <v>9.15</v>
      </c>
      <c r="F22" s="1"/>
      <c r="G22" s="1"/>
      <c r="H22" s="1"/>
      <c r="I22" s="1"/>
      <c r="J22" s="1">
        <f t="shared" si="0"/>
        <v>9.15</v>
      </c>
    </row>
    <row r="23" spans="1:10" x14ac:dyDescent="0.2">
      <c r="A23" s="1"/>
      <c r="B23" s="3" t="s">
        <v>27</v>
      </c>
      <c r="C23" s="1"/>
      <c r="D23" s="1"/>
      <c r="E23" s="1">
        <v>4.4000000000000004</v>
      </c>
      <c r="F23" s="1"/>
      <c r="G23" s="1"/>
      <c r="H23" s="1"/>
      <c r="I23" s="1"/>
      <c r="J23" s="1">
        <f t="shared" si="0"/>
        <v>4.4000000000000004</v>
      </c>
    </row>
    <row r="24" spans="1:10" x14ac:dyDescent="0.2">
      <c r="A24" s="1"/>
      <c r="B24" s="3" t="s">
        <v>28</v>
      </c>
      <c r="C24" s="1"/>
      <c r="D24" s="1"/>
      <c r="E24" s="1">
        <v>7.85</v>
      </c>
      <c r="F24" s="1"/>
      <c r="G24" s="1"/>
      <c r="H24" s="1"/>
      <c r="I24" s="1"/>
      <c r="J24" s="1">
        <f t="shared" si="0"/>
        <v>7.85</v>
      </c>
    </row>
    <row r="25" spans="1:10" x14ac:dyDescent="0.2">
      <c r="A25" s="1"/>
      <c r="B25" s="3" t="s">
        <v>29</v>
      </c>
      <c r="C25" s="1"/>
      <c r="D25" s="1"/>
      <c r="E25" s="1">
        <v>4.3499999999999996</v>
      </c>
      <c r="F25" s="1"/>
      <c r="G25" s="1"/>
      <c r="H25" s="1"/>
      <c r="I25" s="1"/>
      <c r="J25" s="1">
        <f t="shared" si="0"/>
        <v>4.3499999999999996</v>
      </c>
    </row>
    <row r="26" spans="1:10" x14ac:dyDescent="0.2">
      <c r="A26" s="1"/>
      <c r="B26" s="3" t="s">
        <v>30</v>
      </c>
      <c r="C26" s="1"/>
      <c r="D26" s="1"/>
      <c r="E26" s="1">
        <v>4.45</v>
      </c>
      <c r="F26" s="1"/>
      <c r="G26" s="1"/>
      <c r="H26" s="1"/>
      <c r="I26" s="1"/>
      <c r="J26" s="1">
        <f t="shared" si="0"/>
        <v>4.45</v>
      </c>
    </row>
    <row r="27" spans="1:10" x14ac:dyDescent="0.2">
      <c r="A27" s="1"/>
      <c r="B27" s="3" t="s">
        <v>31</v>
      </c>
      <c r="C27" s="1"/>
      <c r="D27" s="1"/>
      <c r="E27" s="1">
        <v>4</v>
      </c>
      <c r="F27" s="1"/>
      <c r="G27" s="1"/>
      <c r="H27" s="1"/>
      <c r="I27" s="1"/>
      <c r="J27" s="1">
        <f t="shared" si="0"/>
        <v>4</v>
      </c>
    </row>
    <row r="28" spans="1:10" x14ac:dyDescent="0.2">
      <c r="A28" s="1"/>
      <c r="B28" s="3" t="s">
        <v>32</v>
      </c>
      <c r="C28" s="1"/>
      <c r="D28" s="1"/>
      <c r="E28" s="1">
        <v>6.3</v>
      </c>
      <c r="F28" s="1"/>
      <c r="G28" s="1"/>
      <c r="H28" s="1"/>
      <c r="I28" s="1"/>
      <c r="J28" s="1">
        <f t="shared" si="0"/>
        <v>6.3</v>
      </c>
    </row>
    <row r="29" spans="1:10" x14ac:dyDescent="0.2">
      <c r="A29" s="1"/>
      <c r="B29" s="3" t="s">
        <v>33</v>
      </c>
      <c r="C29" s="1"/>
      <c r="D29" s="1"/>
      <c r="E29" s="1">
        <v>3.55</v>
      </c>
      <c r="F29" s="1"/>
      <c r="G29" s="1"/>
      <c r="H29" s="1"/>
      <c r="I29" s="1"/>
      <c r="J29" s="1">
        <f t="shared" si="0"/>
        <v>3.55</v>
      </c>
    </row>
    <row r="30" spans="1:10" x14ac:dyDescent="0.2">
      <c r="A30" s="1"/>
      <c r="B30" s="3" t="s">
        <v>34</v>
      </c>
      <c r="C30" s="1"/>
      <c r="D30" s="1"/>
      <c r="E30" s="1">
        <v>2.8</v>
      </c>
      <c r="F30" s="1"/>
      <c r="G30" s="1"/>
      <c r="H30" s="1"/>
      <c r="I30" s="1"/>
      <c r="J30" s="1">
        <f t="shared" si="0"/>
        <v>2.8</v>
      </c>
    </row>
    <row r="31" spans="1:10" x14ac:dyDescent="0.2">
      <c r="A31" s="1"/>
      <c r="B31" s="3" t="s">
        <v>35</v>
      </c>
      <c r="C31" s="1"/>
      <c r="D31" s="1"/>
      <c r="E31" s="1">
        <v>2.75</v>
      </c>
      <c r="F31" s="1"/>
      <c r="G31" s="1"/>
      <c r="H31" s="1"/>
      <c r="I31" s="1"/>
      <c r="J31" s="1">
        <f t="shared" si="0"/>
        <v>2.75</v>
      </c>
    </row>
    <row r="32" spans="1:10" x14ac:dyDescent="0.2">
      <c r="A32" s="1"/>
      <c r="B32" s="3" t="s">
        <v>36</v>
      </c>
      <c r="C32" s="1"/>
      <c r="D32" s="1"/>
      <c r="E32" s="1">
        <v>6.85</v>
      </c>
      <c r="F32" s="1"/>
      <c r="G32" s="1"/>
      <c r="H32" s="1"/>
      <c r="I32" s="1"/>
      <c r="J32" s="1">
        <f t="shared" si="0"/>
        <v>6.85</v>
      </c>
    </row>
    <row r="33" spans="1:10" x14ac:dyDescent="0.2">
      <c r="A33" s="1"/>
      <c r="B33" s="3" t="s">
        <v>37</v>
      </c>
      <c r="C33" s="1"/>
      <c r="D33" s="1"/>
      <c r="E33" s="1">
        <v>3.9</v>
      </c>
      <c r="F33" s="1"/>
      <c r="G33" s="1"/>
      <c r="H33" s="1"/>
      <c r="I33" s="1"/>
      <c r="J33" s="1">
        <f t="shared" si="0"/>
        <v>3.9</v>
      </c>
    </row>
    <row r="34" spans="1:10" x14ac:dyDescent="0.2">
      <c r="A34" s="1"/>
      <c r="B34" s="3" t="s">
        <v>38</v>
      </c>
      <c r="C34" s="1"/>
      <c r="D34" s="1"/>
      <c r="E34" s="1">
        <v>7.75</v>
      </c>
      <c r="F34" s="1"/>
      <c r="G34" s="1"/>
      <c r="H34" s="1"/>
      <c r="I34" s="1"/>
      <c r="J34" s="1">
        <f t="shared" ref="J34:J65" si="1">+C34*D34+E34+F34+G34+H34+I34</f>
        <v>7.75</v>
      </c>
    </row>
    <row r="35" spans="1:10" x14ac:dyDescent="0.2">
      <c r="A35" s="1"/>
      <c r="B35" s="3" t="s">
        <v>39</v>
      </c>
      <c r="C35" s="1"/>
      <c r="D35" s="1"/>
      <c r="E35" s="1">
        <v>6.15</v>
      </c>
      <c r="F35" s="1"/>
      <c r="G35" s="1"/>
      <c r="H35" s="1"/>
      <c r="I35" s="1"/>
      <c r="J35" s="1">
        <f t="shared" si="1"/>
        <v>6.15</v>
      </c>
    </row>
    <row r="36" spans="1:10" x14ac:dyDescent="0.2">
      <c r="A36" s="1"/>
      <c r="B36" s="3" t="s">
        <v>40</v>
      </c>
      <c r="C36" s="1"/>
      <c r="D36" s="1"/>
      <c r="E36" s="1">
        <v>10.45</v>
      </c>
      <c r="F36" s="1"/>
      <c r="G36" s="1"/>
      <c r="H36" s="1"/>
      <c r="I36" s="1"/>
      <c r="J36" s="1">
        <f t="shared" si="1"/>
        <v>10.45</v>
      </c>
    </row>
    <row r="37" spans="1:10" x14ac:dyDescent="0.2">
      <c r="A37" s="1"/>
      <c r="B37" s="3" t="s">
        <v>41</v>
      </c>
      <c r="C37" s="1"/>
      <c r="D37" s="1"/>
      <c r="E37" s="1">
        <v>4.05</v>
      </c>
      <c r="F37" s="1"/>
      <c r="G37" s="1"/>
      <c r="H37" s="1"/>
      <c r="I37" s="1"/>
      <c r="J37" s="1">
        <f t="shared" si="1"/>
        <v>4.05</v>
      </c>
    </row>
    <row r="38" spans="1:10" x14ac:dyDescent="0.2">
      <c r="A38" s="1"/>
      <c r="B38" s="3" t="s">
        <v>42</v>
      </c>
      <c r="C38" s="1"/>
      <c r="D38" s="1"/>
      <c r="E38" s="1">
        <v>3.8</v>
      </c>
      <c r="F38" s="1"/>
      <c r="G38" s="1"/>
      <c r="H38" s="1"/>
      <c r="I38" s="1"/>
      <c r="J38" s="1">
        <f t="shared" si="1"/>
        <v>3.8</v>
      </c>
    </row>
    <row r="39" spans="1:10" x14ac:dyDescent="0.2">
      <c r="A39" s="1"/>
      <c r="B39" s="3" t="s">
        <v>43</v>
      </c>
      <c r="C39" s="1"/>
      <c r="D39" s="1"/>
      <c r="E39" s="1">
        <v>4.3</v>
      </c>
      <c r="F39" s="1"/>
      <c r="G39" s="1"/>
      <c r="H39" s="1"/>
      <c r="I39" s="1"/>
      <c r="J39" s="1">
        <f t="shared" si="1"/>
        <v>4.3</v>
      </c>
    </row>
    <row r="40" spans="1:10" x14ac:dyDescent="0.2">
      <c r="A40" s="1"/>
      <c r="B40" s="3" t="s">
        <v>44</v>
      </c>
      <c r="C40" s="1"/>
      <c r="D40" s="1"/>
      <c r="E40" s="1">
        <v>7</v>
      </c>
      <c r="F40" s="1"/>
      <c r="G40" s="1"/>
      <c r="H40" s="1"/>
      <c r="I40" s="1"/>
      <c r="J40" s="1">
        <f t="shared" si="1"/>
        <v>7</v>
      </c>
    </row>
    <row r="41" spans="1:10" x14ac:dyDescent="0.2">
      <c r="A41" s="1"/>
      <c r="B41" s="3" t="s">
        <v>45</v>
      </c>
      <c r="C41" s="1"/>
      <c r="D41" s="1"/>
      <c r="E41" s="1">
        <v>3.3</v>
      </c>
      <c r="F41" s="1"/>
      <c r="G41" s="1"/>
      <c r="H41" s="1"/>
      <c r="I41" s="1"/>
      <c r="J41" s="1">
        <f t="shared" si="1"/>
        <v>3.3</v>
      </c>
    </row>
    <row r="42" spans="1:10" x14ac:dyDescent="0.2">
      <c r="A42" s="1"/>
      <c r="B42" s="3" t="s">
        <v>46</v>
      </c>
      <c r="C42" s="1"/>
      <c r="D42" s="1"/>
      <c r="E42" s="1">
        <v>7.4</v>
      </c>
      <c r="F42" s="1"/>
      <c r="G42" s="1"/>
      <c r="H42" s="1"/>
      <c r="I42" s="1"/>
      <c r="J42" s="1">
        <f t="shared" si="1"/>
        <v>7.4</v>
      </c>
    </row>
    <row r="43" spans="1:10" x14ac:dyDescent="0.2">
      <c r="A43" s="1"/>
      <c r="B43" s="3" t="s">
        <v>47</v>
      </c>
      <c r="C43" s="1"/>
      <c r="D43" s="1"/>
      <c r="E43" s="1">
        <v>7.2</v>
      </c>
      <c r="F43" s="1"/>
      <c r="G43" s="1"/>
      <c r="H43" s="1"/>
      <c r="I43" s="1"/>
      <c r="J43" s="1">
        <f t="shared" si="1"/>
        <v>7.2</v>
      </c>
    </row>
    <row r="44" spans="1:10" x14ac:dyDescent="0.2">
      <c r="A44" s="1"/>
      <c r="B44" s="3" t="s">
        <v>48</v>
      </c>
      <c r="C44" s="1"/>
      <c r="D44" s="1"/>
      <c r="E44" s="1">
        <v>7.35</v>
      </c>
      <c r="F44" s="1"/>
      <c r="G44" s="1"/>
      <c r="H44" s="1"/>
      <c r="I44" s="1"/>
      <c r="J44" s="1">
        <f t="shared" si="1"/>
        <v>7.35</v>
      </c>
    </row>
    <row r="45" spans="1:10" x14ac:dyDescent="0.2">
      <c r="A45" s="1"/>
      <c r="B45" s="3" t="s">
        <v>49</v>
      </c>
      <c r="C45" s="1"/>
      <c r="D45" s="1"/>
      <c r="E45" s="1">
        <v>7.35</v>
      </c>
      <c r="F45" s="1"/>
      <c r="G45" s="1"/>
      <c r="H45" s="1"/>
      <c r="I45" s="1"/>
      <c r="J45" s="1">
        <f t="shared" si="1"/>
        <v>7.35</v>
      </c>
    </row>
    <row r="46" spans="1:10" x14ac:dyDescent="0.2">
      <c r="A46" s="1"/>
      <c r="B46" s="3" t="s">
        <v>50</v>
      </c>
      <c r="C46" s="1"/>
      <c r="D46" s="1"/>
      <c r="E46" s="1">
        <v>7.15</v>
      </c>
      <c r="F46" s="1"/>
      <c r="G46" s="1"/>
      <c r="H46" s="1"/>
      <c r="I46" s="1"/>
      <c r="J46" s="1">
        <f t="shared" si="1"/>
        <v>7.15</v>
      </c>
    </row>
    <row r="47" spans="1:10" x14ac:dyDescent="0.2">
      <c r="A47" s="1"/>
      <c r="B47" s="3" t="s">
        <v>51</v>
      </c>
      <c r="C47" s="1"/>
      <c r="D47" s="1"/>
      <c r="E47" s="1">
        <v>9.3000000000000007</v>
      </c>
      <c r="F47" s="1"/>
      <c r="G47" s="1"/>
      <c r="H47" s="1"/>
      <c r="I47" s="1"/>
      <c r="J47" s="1">
        <f t="shared" si="1"/>
        <v>9.3000000000000007</v>
      </c>
    </row>
    <row r="48" spans="1:10" x14ac:dyDescent="0.2">
      <c r="A48" s="1"/>
      <c r="B48" s="3" t="s">
        <v>52</v>
      </c>
      <c r="C48" s="1"/>
      <c r="D48" s="1"/>
      <c r="E48" s="1">
        <v>7.3</v>
      </c>
      <c r="F48" s="1"/>
      <c r="G48" s="1"/>
      <c r="H48" s="1"/>
      <c r="I48" s="1"/>
      <c r="J48" s="1">
        <f t="shared" si="1"/>
        <v>7.3</v>
      </c>
    </row>
    <row r="49" spans="1:10" x14ac:dyDescent="0.2">
      <c r="A49" s="1"/>
      <c r="B49" s="3" t="s">
        <v>53</v>
      </c>
      <c r="C49" s="1"/>
      <c r="D49" s="1"/>
      <c r="E49" s="1">
        <v>9</v>
      </c>
      <c r="F49" s="1"/>
      <c r="G49" s="1"/>
      <c r="H49" s="1"/>
      <c r="I49" s="1"/>
      <c r="J49" s="1">
        <f t="shared" si="1"/>
        <v>9</v>
      </c>
    </row>
    <row r="50" spans="1:10" x14ac:dyDescent="0.2">
      <c r="A50" s="1"/>
      <c r="B50" s="3" t="s">
        <v>54</v>
      </c>
      <c r="C50" s="1"/>
      <c r="D50" s="1"/>
      <c r="E50" s="1">
        <v>7.4</v>
      </c>
      <c r="F50" s="1"/>
      <c r="G50" s="1"/>
      <c r="H50" s="1"/>
      <c r="I50" s="1"/>
      <c r="J50" s="1">
        <f t="shared" si="1"/>
        <v>7.4</v>
      </c>
    </row>
    <row r="51" spans="1:10" x14ac:dyDescent="0.2">
      <c r="A51" s="1"/>
      <c r="B51" s="3" t="s">
        <v>55</v>
      </c>
      <c r="C51" s="1"/>
      <c r="D51" s="1"/>
      <c r="E51" s="1">
        <v>10.6</v>
      </c>
      <c r="F51" s="1"/>
      <c r="G51" s="1"/>
      <c r="H51" s="1"/>
      <c r="I51" s="1"/>
      <c r="J51" s="1">
        <f t="shared" si="1"/>
        <v>10.6</v>
      </c>
    </row>
    <row r="52" spans="1:10" x14ac:dyDescent="0.2">
      <c r="A52" s="1"/>
      <c r="B52" s="1" t="s">
        <v>57</v>
      </c>
      <c r="C52" s="1"/>
      <c r="D52" s="1"/>
      <c r="E52" s="1">
        <v>4.2</v>
      </c>
      <c r="F52" s="1">
        <v>4.4000000000000004</v>
      </c>
      <c r="G52" s="1"/>
      <c r="H52" s="1"/>
      <c r="I52" s="1"/>
      <c r="J52" s="1">
        <f t="shared" si="1"/>
        <v>8.6000000000000014</v>
      </c>
    </row>
    <row r="53" spans="1:10" x14ac:dyDescent="0.2">
      <c r="A53" s="1"/>
      <c r="B53" s="1" t="s">
        <v>58</v>
      </c>
      <c r="C53" s="1"/>
      <c r="D53" s="1"/>
      <c r="E53" s="1">
        <v>7.1</v>
      </c>
      <c r="F53" s="1"/>
      <c r="G53" s="1"/>
      <c r="H53" s="1"/>
      <c r="I53" s="1"/>
      <c r="J53" s="1">
        <f t="shared" si="1"/>
        <v>7.1</v>
      </c>
    </row>
    <row r="54" spans="1:10" x14ac:dyDescent="0.2">
      <c r="A54" s="1"/>
      <c r="B54" s="1" t="s">
        <v>59</v>
      </c>
      <c r="C54" s="1"/>
      <c r="D54" s="1"/>
      <c r="E54" s="1">
        <v>7</v>
      </c>
      <c r="F54" s="1"/>
      <c r="G54" s="1"/>
      <c r="H54" s="1"/>
      <c r="I54" s="1"/>
      <c r="J54" s="1">
        <f t="shared" si="1"/>
        <v>7</v>
      </c>
    </row>
    <row r="55" spans="1:10" x14ac:dyDescent="0.2">
      <c r="A55" s="1"/>
      <c r="B55" s="1" t="s">
        <v>60</v>
      </c>
      <c r="C55" s="1"/>
      <c r="D55" s="1"/>
      <c r="E55" s="1">
        <v>4.2</v>
      </c>
      <c r="F55" s="1"/>
      <c r="G55" s="1"/>
      <c r="H55" s="1"/>
      <c r="I55" s="1"/>
      <c r="J55" s="1">
        <f t="shared" si="1"/>
        <v>4.2</v>
      </c>
    </row>
    <row r="56" spans="1:10" x14ac:dyDescent="0.2">
      <c r="A56" s="1"/>
      <c r="B56" s="1" t="s">
        <v>61</v>
      </c>
      <c r="C56" s="1"/>
      <c r="D56" s="1"/>
      <c r="E56" s="1">
        <v>5</v>
      </c>
      <c r="F56" s="1"/>
      <c r="G56" s="1"/>
      <c r="H56" s="1"/>
      <c r="I56" s="1"/>
      <c r="J56" s="1">
        <f t="shared" si="1"/>
        <v>5</v>
      </c>
    </row>
    <row r="57" spans="1:10" x14ac:dyDescent="0.2">
      <c r="A57" s="1"/>
      <c r="B57" s="1" t="s">
        <v>62</v>
      </c>
      <c r="C57" s="1"/>
      <c r="D57" s="1"/>
      <c r="E57" s="1">
        <v>3.6</v>
      </c>
      <c r="F57" s="1"/>
      <c r="G57" s="1"/>
      <c r="H57" s="1"/>
      <c r="I57" s="1"/>
      <c r="J57" s="1">
        <f t="shared" si="1"/>
        <v>3.6</v>
      </c>
    </row>
    <row r="58" spans="1:10" x14ac:dyDescent="0.2">
      <c r="A58" s="1"/>
      <c r="B58" s="1" t="s">
        <v>63</v>
      </c>
      <c r="C58" s="1"/>
      <c r="D58" s="1"/>
      <c r="E58" s="1">
        <v>4.3</v>
      </c>
      <c r="F58" s="1"/>
      <c r="G58" s="1"/>
      <c r="H58" s="1"/>
      <c r="I58" s="1"/>
      <c r="J58" s="1">
        <f t="shared" si="1"/>
        <v>4.3</v>
      </c>
    </row>
    <row r="59" spans="1:10" x14ac:dyDescent="0.2">
      <c r="A59" s="1"/>
      <c r="B59" s="1" t="s">
        <v>64</v>
      </c>
      <c r="C59" s="1"/>
      <c r="D59" s="1"/>
      <c r="E59" s="1">
        <v>2.9</v>
      </c>
      <c r="F59" s="1"/>
      <c r="G59" s="1"/>
      <c r="H59" s="1"/>
      <c r="I59" s="1"/>
      <c r="J59" s="1">
        <f t="shared" si="1"/>
        <v>2.9</v>
      </c>
    </row>
    <row r="60" spans="1:10" x14ac:dyDescent="0.2">
      <c r="A60" s="1"/>
      <c r="B60" s="1" t="s">
        <v>65</v>
      </c>
      <c r="C60" s="1"/>
      <c r="D60" s="1"/>
      <c r="E60" s="1">
        <v>4.3</v>
      </c>
      <c r="F60" s="1"/>
      <c r="G60" s="1"/>
      <c r="H60" s="1"/>
      <c r="I60" s="1"/>
      <c r="J60" s="1">
        <f t="shared" si="1"/>
        <v>4.3</v>
      </c>
    </row>
    <row r="61" spans="1:10" x14ac:dyDescent="0.2">
      <c r="A61" s="1"/>
      <c r="B61" s="1" t="s">
        <v>66</v>
      </c>
      <c r="C61" s="1"/>
      <c r="D61" s="1"/>
      <c r="E61" s="1">
        <v>3.7</v>
      </c>
      <c r="F61" s="1"/>
      <c r="G61" s="1"/>
      <c r="H61" s="1"/>
      <c r="I61" s="1"/>
      <c r="J61" s="1">
        <f t="shared" si="1"/>
        <v>3.7</v>
      </c>
    </row>
    <row r="62" spans="1:10" x14ac:dyDescent="0.2">
      <c r="A62" s="1"/>
      <c r="B62" s="1" t="s">
        <v>67</v>
      </c>
      <c r="C62" s="1"/>
      <c r="D62" s="1"/>
      <c r="E62" s="1">
        <v>3</v>
      </c>
      <c r="F62" s="1"/>
      <c r="G62" s="1"/>
      <c r="H62" s="1"/>
      <c r="I62" s="1"/>
      <c r="J62" s="1">
        <f t="shared" si="1"/>
        <v>3</v>
      </c>
    </row>
    <row r="63" spans="1:10" x14ac:dyDescent="0.2">
      <c r="A63" s="1"/>
      <c r="B63" s="1" t="s">
        <v>68</v>
      </c>
      <c r="C63" s="1"/>
      <c r="D63" s="1"/>
      <c r="E63" s="1">
        <v>8</v>
      </c>
      <c r="F63" s="1"/>
      <c r="G63" s="1"/>
      <c r="H63" s="1"/>
      <c r="I63" s="1"/>
      <c r="J63" s="1">
        <f t="shared" si="1"/>
        <v>8</v>
      </c>
    </row>
    <row r="64" spans="1:10" x14ac:dyDescent="0.2">
      <c r="A64" s="1"/>
      <c r="B64" s="1" t="s">
        <v>69</v>
      </c>
      <c r="C64" s="1"/>
      <c r="D64" s="1"/>
      <c r="E64" s="1">
        <v>8.1</v>
      </c>
      <c r="F64" s="1"/>
      <c r="G64" s="1"/>
      <c r="H64" s="1"/>
      <c r="I64" s="1"/>
      <c r="J64" s="1">
        <f t="shared" si="1"/>
        <v>8.1</v>
      </c>
    </row>
    <row r="65" spans="1:10" x14ac:dyDescent="0.2">
      <c r="A65" s="1"/>
      <c r="B65" s="1" t="s">
        <v>70</v>
      </c>
      <c r="C65" s="1"/>
      <c r="D65" s="1"/>
      <c r="E65" s="1">
        <v>8.25</v>
      </c>
      <c r="F65" s="1"/>
      <c r="G65" s="1"/>
      <c r="H65" s="1"/>
      <c r="I65" s="1"/>
      <c r="J65" s="1">
        <f t="shared" si="1"/>
        <v>8.25</v>
      </c>
    </row>
    <row r="66" spans="1:10" x14ac:dyDescent="0.2">
      <c r="A66" s="1"/>
      <c r="B66" s="1" t="s">
        <v>71</v>
      </c>
      <c r="C66" s="1"/>
      <c r="D66" s="1"/>
      <c r="E66" s="1">
        <v>9.1999999999999993</v>
      </c>
      <c r="F66" s="1"/>
      <c r="G66" s="1"/>
      <c r="H66" s="1"/>
      <c r="I66" s="1"/>
      <c r="J66" s="1">
        <f t="shared" ref="J66:J97" si="2">+C66*D66+E66+F66+G66+H66+I66</f>
        <v>9.1999999999999993</v>
      </c>
    </row>
    <row r="67" spans="1:10" x14ac:dyDescent="0.2">
      <c r="A67" s="1"/>
      <c r="B67" s="1" t="s">
        <v>72</v>
      </c>
      <c r="C67" s="1"/>
      <c r="D67" s="1"/>
      <c r="E67" s="1">
        <v>5</v>
      </c>
      <c r="F67" s="1"/>
      <c r="G67" s="1"/>
      <c r="H67" s="1"/>
      <c r="I67" s="1"/>
      <c r="J67" s="1">
        <f t="shared" si="2"/>
        <v>5</v>
      </c>
    </row>
    <row r="68" spans="1:10" x14ac:dyDescent="0.2">
      <c r="A68" s="1"/>
      <c r="B68" s="1" t="s">
        <v>73</v>
      </c>
      <c r="C68" s="1"/>
      <c r="D68" s="1"/>
      <c r="E68" s="1">
        <v>2.2999999999999998</v>
      </c>
      <c r="F68" s="1"/>
      <c r="G68" s="1"/>
      <c r="H68" s="1"/>
      <c r="I68" s="1"/>
      <c r="J68" s="1">
        <f t="shared" si="2"/>
        <v>2.2999999999999998</v>
      </c>
    </row>
    <row r="69" spans="1:10" x14ac:dyDescent="0.2">
      <c r="A69" s="1"/>
      <c r="B69" s="1" t="s">
        <v>74</v>
      </c>
      <c r="C69" s="1"/>
      <c r="D69" s="1"/>
      <c r="E69" s="1">
        <v>3.1</v>
      </c>
      <c r="F69" s="1"/>
      <c r="G69" s="1"/>
      <c r="H69" s="1"/>
      <c r="I69" s="1"/>
      <c r="J69" s="1">
        <f t="shared" si="2"/>
        <v>3.1</v>
      </c>
    </row>
    <row r="70" spans="1:10" x14ac:dyDescent="0.2">
      <c r="A70" s="1"/>
      <c r="B70" s="1" t="s">
        <v>75</v>
      </c>
      <c r="C70" s="1"/>
      <c r="D70" s="1"/>
      <c r="E70" s="1"/>
      <c r="F70" s="1"/>
      <c r="G70" s="1"/>
      <c r="H70" s="1"/>
      <c r="I70" s="1"/>
      <c r="J70" s="1">
        <f t="shared" si="2"/>
        <v>0</v>
      </c>
    </row>
    <row r="71" spans="1:10" x14ac:dyDescent="0.2">
      <c r="A71" s="1"/>
      <c r="B71" s="1" t="s">
        <v>76</v>
      </c>
      <c r="C71" s="1"/>
      <c r="D71" s="1"/>
      <c r="E71" s="1"/>
      <c r="F71" s="1"/>
      <c r="G71" s="1"/>
      <c r="H71" s="1"/>
      <c r="I71" s="1"/>
      <c r="J71" s="1">
        <f t="shared" si="2"/>
        <v>0</v>
      </c>
    </row>
    <row r="72" spans="1:10" x14ac:dyDescent="0.2">
      <c r="A72" s="1"/>
      <c r="B72" s="1" t="s">
        <v>77</v>
      </c>
      <c r="C72" s="1"/>
      <c r="D72" s="1"/>
      <c r="E72" s="1"/>
      <c r="F72" s="1"/>
      <c r="G72" s="1"/>
      <c r="H72" s="1"/>
      <c r="I72" s="1"/>
      <c r="J72" s="1">
        <f t="shared" si="2"/>
        <v>0</v>
      </c>
    </row>
    <row r="73" spans="1:10" x14ac:dyDescent="0.2">
      <c r="A73" s="1"/>
      <c r="B73" s="1" t="s">
        <v>78</v>
      </c>
      <c r="C73" s="1"/>
      <c r="D73" s="1"/>
      <c r="E73" s="1"/>
      <c r="F73" s="1"/>
      <c r="G73" s="1"/>
      <c r="H73" s="1"/>
      <c r="I73" s="1"/>
      <c r="J73" s="1">
        <f t="shared" si="2"/>
        <v>0</v>
      </c>
    </row>
    <row r="74" spans="1:10" x14ac:dyDescent="0.2">
      <c r="A74" s="1"/>
      <c r="B74" s="1" t="s">
        <v>79</v>
      </c>
      <c r="C74" s="1"/>
      <c r="D74" s="1"/>
      <c r="E74" s="1"/>
      <c r="F74" s="1"/>
      <c r="G74" s="1"/>
      <c r="H74" s="1"/>
      <c r="I74" s="1"/>
      <c r="J74" s="1">
        <f t="shared" si="2"/>
        <v>0</v>
      </c>
    </row>
    <row r="75" spans="1:10" x14ac:dyDescent="0.2">
      <c r="A75" s="1"/>
      <c r="B75" s="1" t="s">
        <v>80</v>
      </c>
      <c r="C75" s="1"/>
      <c r="D75" s="1"/>
      <c r="E75" s="1">
        <v>2.5</v>
      </c>
      <c r="F75" s="1"/>
      <c r="G75" s="1"/>
      <c r="H75" s="1"/>
      <c r="I75" s="1"/>
      <c r="J75" s="1">
        <f t="shared" si="2"/>
        <v>2.5</v>
      </c>
    </row>
    <row r="76" spans="1:10" x14ac:dyDescent="0.2">
      <c r="A76" s="1"/>
      <c r="B76" s="1" t="s">
        <v>82</v>
      </c>
      <c r="C76" s="1"/>
      <c r="D76" s="1"/>
      <c r="E76" s="1">
        <v>3.2</v>
      </c>
      <c r="F76" s="1"/>
      <c r="G76" s="1"/>
      <c r="H76" s="1"/>
      <c r="I76" s="1"/>
      <c r="J76" s="1">
        <f t="shared" si="2"/>
        <v>3.2</v>
      </c>
    </row>
    <row r="77" spans="1:10" x14ac:dyDescent="0.2">
      <c r="A77" s="1"/>
      <c r="B77" s="1" t="s">
        <v>83</v>
      </c>
      <c r="C77" s="1"/>
      <c r="D77" s="1"/>
      <c r="E77" s="1">
        <v>2</v>
      </c>
      <c r="F77" s="1"/>
      <c r="G77" s="1"/>
      <c r="H77" s="1"/>
      <c r="I77" s="1"/>
      <c r="J77" s="1">
        <f t="shared" si="2"/>
        <v>2</v>
      </c>
    </row>
    <row r="78" spans="1:10" x14ac:dyDescent="0.2">
      <c r="A78" s="1"/>
      <c r="B78" s="1" t="s">
        <v>84</v>
      </c>
      <c r="C78" s="1"/>
      <c r="D78" s="1"/>
      <c r="E78" s="1">
        <v>3</v>
      </c>
      <c r="F78" s="1"/>
      <c r="G78" s="1"/>
      <c r="H78" s="1"/>
      <c r="I78" s="1"/>
      <c r="J78" s="1">
        <f t="shared" si="2"/>
        <v>3</v>
      </c>
    </row>
    <row r="79" spans="1:10" x14ac:dyDescent="0.2">
      <c r="A79" s="1"/>
      <c r="B79" s="1" t="s">
        <v>85</v>
      </c>
      <c r="C79" s="1"/>
      <c r="D79" s="1"/>
      <c r="E79" s="1">
        <v>2.5</v>
      </c>
      <c r="F79" s="1"/>
      <c r="G79" s="1"/>
      <c r="H79" s="1"/>
      <c r="I79" s="1"/>
      <c r="J79" s="1">
        <f t="shared" si="2"/>
        <v>2.5</v>
      </c>
    </row>
    <row r="80" spans="1:10" x14ac:dyDescent="0.2">
      <c r="A80" s="1"/>
      <c r="B80" s="1" t="s">
        <v>86</v>
      </c>
      <c r="C80" s="1"/>
      <c r="D80" s="1"/>
      <c r="E80" s="1">
        <v>3.4</v>
      </c>
      <c r="F80" s="1"/>
      <c r="G80" s="1"/>
      <c r="H80" s="1"/>
      <c r="I80" s="1"/>
      <c r="J80" s="1">
        <f t="shared" si="2"/>
        <v>3.4</v>
      </c>
    </row>
    <row r="81" spans="1:10" x14ac:dyDescent="0.2">
      <c r="A81" s="1"/>
      <c r="B81" s="1" t="s">
        <v>87</v>
      </c>
      <c r="C81" s="1"/>
      <c r="D81" s="1"/>
      <c r="E81" s="1">
        <v>3</v>
      </c>
      <c r="F81" s="1"/>
      <c r="G81" s="1"/>
      <c r="H81" s="1"/>
      <c r="I81" s="1"/>
      <c r="J81" s="1">
        <f t="shared" si="2"/>
        <v>3</v>
      </c>
    </row>
    <row r="82" spans="1:10" x14ac:dyDescent="0.2">
      <c r="A82" s="1"/>
      <c r="B82" s="1" t="s">
        <v>88</v>
      </c>
      <c r="C82" s="1"/>
      <c r="D82" s="1"/>
      <c r="E82" s="1">
        <v>3</v>
      </c>
      <c r="F82" s="1"/>
      <c r="G82" s="1"/>
      <c r="H82" s="1"/>
      <c r="I82" s="1"/>
      <c r="J82" s="1">
        <f t="shared" si="2"/>
        <v>3</v>
      </c>
    </row>
    <row r="83" spans="1:10" x14ac:dyDescent="0.2">
      <c r="A83" s="1"/>
      <c r="B83" s="1" t="s">
        <v>89</v>
      </c>
      <c r="C83" s="1"/>
      <c r="D83" s="1"/>
      <c r="E83" s="1">
        <v>3</v>
      </c>
      <c r="F83" s="1"/>
      <c r="G83" s="1"/>
      <c r="H83" s="1"/>
      <c r="I83" s="1"/>
      <c r="J83" s="1">
        <f t="shared" si="2"/>
        <v>3</v>
      </c>
    </row>
    <row r="84" spans="1:10" x14ac:dyDescent="0.2">
      <c r="A84" s="1"/>
      <c r="B84" s="1" t="s">
        <v>90</v>
      </c>
      <c r="C84" s="1"/>
      <c r="D84" s="1"/>
      <c r="E84" s="1">
        <v>5.2</v>
      </c>
      <c r="F84" s="1"/>
      <c r="G84" s="1"/>
      <c r="H84" s="1"/>
      <c r="I84" s="1"/>
      <c r="J84" s="1">
        <f t="shared" si="2"/>
        <v>5.2</v>
      </c>
    </row>
    <row r="85" spans="1:10" x14ac:dyDescent="0.2">
      <c r="A85" s="1"/>
      <c r="B85" s="1" t="s">
        <v>91</v>
      </c>
      <c r="C85" s="1"/>
      <c r="D85" s="1"/>
      <c r="E85" s="1">
        <v>3</v>
      </c>
      <c r="F85" s="1"/>
      <c r="G85" s="1"/>
      <c r="H85" s="1"/>
      <c r="I85" s="1"/>
      <c r="J85" s="1">
        <f t="shared" si="2"/>
        <v>3</v>
      </c>
    </row>
    <row r="86" spans="1:10" x14ac:dyDescent="0.2">
      <c r="A86" s="1"/>
      <c r="B86" s="1" t="s">
        <v>92</v>
      </c>
      <c r="C86" s="1"/>
      <c r="D86" s="1"/>
      <c r="E86" s="1">
        <v>3.6</v>
      </c>
      <c r="F86" s="1"/>
      <c r="G86" s="1"/>
      <c r="H86" s="1"/>
      <c r="I86" s="1"/>
      <c r="J86" s="1">
        <f t="shared" si="2"/>
        <v>3.6</v>
      </c>
    </row>
    <row r="87" spans="1:10" x14ac:dyDescent="0.2">
      <c r="A87" s="1"/>
      <c r="B87" s="1" t="s">
        <v>93</v>
      </c>
      <c r="C87" s="1"/>
      <c r="D87" s="1"/>
      <c r="E87" s="1">
        <v>3.75</v>
      </c>
      <c r="F87" s="1"/>
      <c r="G87" s="1"/>
      <c r="H87" s="1"/>
      <c r="I87" s="1"/>
      <c r="J87" s="1">
        <f t="shared" si="2"/>
        <v>3.75</v>
      </c>
    </row>
    <row r="88" spans="1:10" x14ac:dyDescent="0.2">
      <c r="A88" s="1"/>
      <c r="B88" s="1" t="s">
        <v>94</v>
      </c>
      <c r="C88" s="1"/>
      <c r="D88" s="1"/>
      <c r="E88" s="1">
        <v>7.5</v>
      </c>
      <c r="F88" s="1"/>
      <c r="G88" s="1"/>
      <c r="H88" s="1"/>
      <c r="I88" s="1"/>
      <c r="J88" s="1">
        <f t="shared" si="2"/>
        <v>7.5</v>
      </c>
    </row>
    <row r="89" spans="1:10" x14ac:dyDescent="0.2">
      <c r="A89" s="1"/>
      <c r="B89" s="1" t="s">
        <v>95</v>
      </c>
      <c r="C89" s="1"/>
      <c r="D89" s="1"/>
      <c r="E89" s="1">
        <v>6.4</v>
      </c>
      <c r="F89" s="1"/>
      <c r="G89" s="1"/>
      <c r="H89" s="1"/>
      <c r="I89" s="1"/>
      <c r="J89" s="1">
        <f t="shared" si="2"/>
        <v>6.4</v>
      </c>
    </row>
    <row r="90" spans="1:10" x14ac:dyDescent="0.2">
      <c r="A90" s="1"/>
      <c r="B90" s="1" t="s">
        <v>96</v>
      </c>
      <c r="C90" s="1"/>
      <c r="D90" s="1"/>
      <c r="E90" s="1">
        <v>3.3</v>
      </c>
      <c r="F90" s="1"/>
      <c r="G90" s="1"/>
      <c r="H90" s="1"/>
      <c r="I90" s="1"/>
      <c r="J90" s="1">
        <f t="shared" si="2"/>
        <v>3.3</v>
      </c>
    </row>
    <row r="91" spans="1:10" x14ac:dyDescent="0.2">
      <c r="A91" s="1"/>
      <c r="B91" s="1" t="s">
        <v>97</v>
      </c>
      <c r="C91" s="1"/>
      <c r="D91" s="1"/>
      <c r="E91" s="1">
        <v>3.4</v>
      </c>
      <c r="F91" s="1"/>
      <c r="G91" s="1"/>
      <c r="H91" s="1"/>
      <c r="I91" s="1"/>
      <c r="J91" s="1">
        <f t="shared" si="2"/>
        <v>3.4</v>
      </c>
    </row>
    <row r="92" spans="1:10" x14ac:dyDescent="0.2">
      <c r="A92" s="1"/>
      <c r="B92" s="1" t="s">
        <v>98</v>
      </c>
      <c r="C92" s="1"/>
      <c r="D92" s="1"/>
      <c r="E92" s="1">
        <v>3.5</v>
      </c>
      <c r="F92" s="1"/>
      <c r="G92" s="1"/>
      <c r="H92" s="1"/>
      <c r="I92" s="1"/>
      <c r="J92" s="1">
        <f t="shared" si="2"/>
        <v>3.5</v>
      </c>
    </row>
    <row r="93" spans="1:10" x14ac:dyDescent="0.2">
      <c r="A93" s="1"/>
      <c r="B93" s="1" t="s">
        <v>99</v>
      </c>
      <c r="C93" s="1"/>
      <c r="D93" s="1"/>
      <c r="E93" s="1">
        <v>2.7</v>
      </c>
      <c r="F93" s="1"/>
      <c r="G93" s="1"/>
      <c r="H93" s="1"/>
      <c r="I93" s="1"/>
      <c r="J93" s="1">
        <f t="shared" si="2"/>
        <v>2.7</v>
      </c>
    </row>
    <row r="94" spans="1:10" x14ac:dyDescent="0.2">
      <c r="A94" s="1"/>
      <c r="B94" s="1" t="s">
        <v>100</v>
      </c>
      <c r="C94" s="1"/>
      <c r="D94" s="1"/>
      <c r="E94" s="1">
        <v>1.5</v>
      </c>
      <c r="F94" s="1"/>
      <c r="G94" s="1"/>
      <c r="H94" s="1"/>
      <c r="I94" s="1"/>
      <c r="J94" s="1">
        <f t="shared" si="2"/>
        <v>1.5</v>
      </c>
    </row>
    <row r="95" spans="1:10" x14ac:dyDescent="0.2">
      <c r="A95" s="1"/>
      <c r="B95" s="1" t="s">
        <v>101</v>
      </c>
      <c r="C95" s="1"/>
      <c r="D95" s="1"/>
      <c r="E95" s="1">
        <v>2.5</v>
      </c>
      <c r="F95" s="1"/>
      <c r="G95" s="1"/>
      <c r="H95" s="1"/>
      <c r="I95" s="1"/>
      <c r="J95" s="1">
        <f t="shared" si="2"/>
        <v>2.5</v>
      </c>
    </row>
    <row r="96" spans="1:10" x14ac:dyDescent="0.2">
      <c r="A96" s="1"/>
      <c r="B96" s="1" t="s">
        <v>102</v>
      </c>
      <c r="C96" s="1"/>
      <c r="D96" s="1"/>
      <c r="E96" s="1">
        <v>3.45</v>
      </c>
      <c r="F96" s="1"/>
      <c r="G96" s="1"/>
      <c r="H96" s="1"/>
      <c r="I96" s="1"/>
      <c r="J96" s="1">
        <f t="shared" si="2"/>
        <v>3.45</v>
      </c>
    </row>
    <row r="97" spans="1:10" x14ac:dyDescent="0.2">
      <c r="A97" s="1"/>
      <c r="B97" s="1" t="s">
        <v>103</v>
      </c>
      <c r="C97" s="1"/>
      <c r="D97" s="1"/>
      <c r="E97" s="1">
        <v>3.6</v>
      </c>
      <c r="F97" s="1"/>
      <c r="G97" s="1"/>
      <c r="H97" s="1"/>
      <c r="I97" s="1"/>
      <c r="J97" s="1">
        <f t="shared" si="2"/>
        <v>3.6</v>
      </c>
    </row>
    <row r="98" spans="1:10" x14ac:dyDescent="0.2">
      <c r="A98" s="1"/>
      <c r="B98" s="1" t="s">
        <v>104</v>
      </c>
      <c r="C98" s="1"/>
      <c r="D98" s="1"/>
      <c r="E98" s="1">
        <v>2.8</v>
      </c>
      <c r="F98" s="1"/>
      <c r="G98" s="1"/>
      <c r="H98" s="1"/>
      <c r="I98" s="1"/>
      <c r="J98" s="1">
        <f t="shared" ref="J98:J129" si="3">+C98*D98+E98+F98+G98+H98+I98</f>
        <v>2.8</v>
      </c>
    </row>
    <row r="99" spans="1:10" x14ac:dyDescent="0.2">
      <c r="A99" s="1"/>
      <c r="B99" s="1" t="s">
        <v>105</v>
      </c>
      <c r="C99" s="1"/>
      <c r="D99" s="1"/>
      <c r="E99" s="1">
        <v>3.5</v>
      </c>
      <c r="F99" s="1"/>
      <c r="G99" s="1"/>
      <c r="H99" s="1"/>
      <c r="I99" s="1"/>
      <c r="J99" s="1">
        <f t="shared" si="3"/>
        <v>3.5</v>
      </c>
    </row>
    <row r="100" spans="1:10" x14ac:dyDescent="0.2">
      <c r="A100" s="1"/>
      <c r="B100" s="1" t="s">
        <v>106</v>
      </c>
      <c r="C100" s="1"/>
      <c r="D100" s="1"/>
      <c r="E100" s="1">
        <v>5</v>
      </c>
      <c r="F100" s="1"/>
      <c r="G100" s="1"/>
      <c r="H100" s="1"/>
      <c r="I100" s="1"/>
      <c r="J100" s="1">
        <f t="shared" si="3"/>
        <v>5</v>
      </c>
    </row>
    <row r="101" spans="1:10" x14ac:dyDescent="0.2">
      <c r="A101" s="1"/>
      <c r="B101" s="1" t="s">
        <v>107</v>
      </c>
      <c r="C101" s="1"/>
      <c r="D101" s="1"/>
      <c r="E101" s="1">
        <v>2.9</v>
      </c>
      <c r="F101" s="1"/>
      <c r="G101" s="1"/>
      <c r="H101" s="1"/>
      <c r="I101" s="1"/>
      <c r="J101" s="1">
        <f t="shared" si="3"/>
        <v>2.9</v>
      </c>
    </row>
    <row r="102" spans="1:10" x14ac:dyDescent="0.2">
      <c r="A102" s="1"/>
      <c r="B102" s="1" t="s">
        <v>81</v>
      </c>
      <c r="C102" s="1"/>
      <c r="D102" s="1"/>
      <c r="E102" s="1">
        <v>4.8499999999999996</v>
      </c>
      <c r="F102" s="1"/>
      <c r="G102" s="1"/>
      <c r="H102" s="1"/>
      <c r="I102" s="1"/>
      <c r="J102" s="1">
        <f t="shared" si="3"/>
        <v>4.8499999999999996</v>
      </c>
    </row>
    <row r="103" spans="1:10" x14ac:dyDescent="0.2">
      <c r="A103" s="1"/>
      <c r="B103" s="1" t="s">
        <v>211</v>
      </c>
      <c r="C103" s="1"/>
      <c r="D103" s="1"/>
      <c r="E103" s="1">
        <v>3.6</v>
      </c>
      <c r="F103" s="1"/>
      <c r="G103" s="1"/>
      <c r="H103" s="1"/>
      <c r="I103" s="1"/>
      <c r="J103" s="1">
        <f t="shared" si="3"/>
        <v>3.6</v>
      </c>
    </row>
    <row r="104" spans="1:10" x14ac:dyDescent="0.2">
      <c r="A104" s="1"/>
      <c r="B104" s="1" t="s">
        <v>212</v>
      </c>
      <c r="C104" s="1"/>
      <c r="D104" s="1"/>
      <c r="E104" s="1">
        <v>3.25</v>
      </c>
      <c r="F104" s="1"/>
      <c r="G104" s="1"/>
      <c r="H104" s="1"/>
      <c r="I104" s="1"/>
      <c r="J104" s="1">
        <f t="shared" si="3"/>
        <v>3.25</v>
      </c>
    </row>
    <row r="105" spans="1:10" x14ac:dyDescent="0.2">
      <c r="A105" s="1"/>
      <c r="B105" s="1" t="s">
        <v>213</v>
      </c>
      <c r="C105" s="1"/>
      <c r="D105" s="1"/>
      <c r="E105" s="1">
        <v>3</v>
      </c>
      <c r="F105" s="1"/>
      <c r="G105" s="1"/>
      <c r="H105" s="1"/>
      <c r="I105" s="1"/>
      <c r="J105" s="1">
        <f t="shared" si="3"/>
        <v>3</v>
      </c>
    </row>
    <row r="106" spans="1:10" x14ac:dyDescent="0.2">
      <c r="A106" s="1"/>
      <c r="B106" s="1" t="s">
        <v>214</v>
      </c>
      <c r="C106" s="1"/>
      <c r="D106" s="1"/>
      <c r="E106" s="1">
        <v>3.35</v>
      </c>
      <c r="F106" s="1"/>
      <c r="G106" s="1"/>
      <c r="H106" s="1"/>
      <c r="I106" s="1"/>
      <c r="J106" s="1">
        <f t="shared" si="3"/>
        <v>3.35</v>
      </c>
    </row>
    <row r="107" spans="1:10" x14ac:dyDescent="0.2">
      <c r="A107" s="1"/>
      <c r="B107" s="1" t="s">
        <v>215</v>
      </c>
      <c r="C107" s="1"/>
      <c r="D107" s="1"/>
      <c r="E107" s="1">
        <v>3.8</v>
      </c>
      <c r="F107" s="1"/>
      <c r="G107" s="1"/>
      <c r="H107" s="1"/>
      <c r="I107" s="1"/>
      <c r="J107" s="1">
        <f t="shared" si="3"/>
        <v>3.8</v>
      </c>
    </row>
    <row r="108" spans="1:10" x14ac:dyDescent="0.2">
      <c r="A108" s="1"/>
      <c r="B108" s="1" t="s">
        <v>216</v>
      </c>
      <c r="C108" s="1"/>
      <c r="D108" s="1"/>
      <c r="E108" s="1"/>
      <c r="F108" s="1"/>
      <c r="G108" s="1"/>
      <c r="H108" s="1"/>
      <c r="I108" s="1"/>
      <c r="J108" s="1">
        <f t="shared" si="3"/>
        <v>0</v>
      </c>
    </row>
    <row r="109" spans="1:10" x14ac:dyDescent="0.2">
      <c r="A109" s="1"/>
      <c r="B109" s="1" t="s">
        <v>217</v>
      </c>
      <c r="C109" s="1"/>
      <c r="D109" s="1"/>
      <c r="E109" s="1"/>
      <c r="F109" s="1"/>
      <c r="G109" s="1"/>
      <c r="H109" s="1"/>
      <c r="I109" s="1"/>
      <c r="J109" s="1">
        <f t="shared" si="3"/>
        <v>0</v>
      </c>
    </row>
    <row r="110" spans="1:10" x14ac:dyDescent="0.2">
      <c r="A110" s="1"/>
      <c r="B110" s="1" t="s">
        <v>218</v>
      </c>
      <c r="C110" s="1"/>
      <c r="D110" s="1"/>
      <c r="E110" s="1">
        <v>3</v>
      </c>
      <c r="F110" s="1"/>
      <c r="G110" s="1"/>
      <c r="H110" s="1"/>
      <c r="I110" s="1"/>
      <c r="J110" s="1">
        <f t="shared" si="3"/>
        <v>3</v>
      </c>
    </row>
    <row r="111" spans="1:10" x14ac:dyDescent="0.2">
      <c r="A111" s="1"/>
      <c r="B111" s="1" t="s">
        <v>219</v>
      </c>
      <c r="C111" s="1"/>
      <c r="D111" s="1"/>
      <c r="E111" s="1">
        <v>5.15</v>
      </c>
      <c r="F111" s="1"/>
      <c r="G111" s="1"/>
      <c r="H111" s="1"/>
      <c r="I111" s="1"/>
      <c r="J111" s="1">
        <f t="shared" si="3"/>
        <v>5.15</v>
      </c>
    </row>
    <row r="112" spans="1:10" x14ac:dyDescent="0.2">
      <c r="A112" s="1"/>
      <c r="B112" s="1" t="s">
        <v>220</v>
      </c>
      <c r="C112" s="1"/>
      <c r="D112" s="1"/>
      <c r="E112" s="1">
        <v>1</v>
      </c>
      <c r="F112" s="1"/>
      <c r="G112" s="1"/>
      <c r="H112" s="1"/>
      <c r="I112" s="1"/>
      <c r="J112" s="1">
        <f t="shared" si="3"/>
        <v>1</v>
      </c>
    </row>
    <row r="113" spans="1:10" x14ac:dyDescent="0.2">
      <c r="A113" s="1"/>
      <c r="B113" s="1" t="s">
        <v>221</v>
      </c>
      <c r="C113" s="1"/>
      <c r="D113" s="1"/>
      <c r="E113" s="1">
        <v>5.7</v>
      </c>
      <c r="F113" s="1"/>
      <c r="G113" s="1"/>
      <c r="H113" s="1"/>
      <c r="I113" s="1"/>
      <c r="J113" s="1">
        <f t="shared" si="3"/>
        <v>5.7</v>
      </c>
    </row>
    <row r="114" spans="1:10" x14ac:dyDescent="0.2">
      <c r="A114" s="1"/>
      <c r="B114" s="1" t="s">
        <v>222</v>
      </c>
      <c r="C114" s="1"/>
      <c r="D114" s="1"/>
      <c r="E114" s="1">
        <v>1</v>
      </c>
      <c r="F114" s="1"/>
      <c r="G114" s="1"/>
      <c r="H114" s="1"/>
      <c r="I114" s="1"/>
      <c r="J114" s="1">
        <f t="shared" si="3"/>
        <v>1</v>
      </c>
    </row>
    <row r="115" spans="1:10" x14ac:dyDescent="0.2">
      <c r="A115" s="1"/>
      <c r="B115" s="1" t="s">
        <v>223</v>
      </c>
      <c r="C115" s="1"/>
      <c r="D115" s="1"/>
      <c r="E115" s="1">
        <v>8.8000000000000007</v>
      </c>
      <c r="F115" s="1"/>
      <c r="G115" s="1"/>
      <c r="H115" s="1"/>
      <c r="I115" s="1"/>
      <c r="J115" s="1">
        <f t="shared" si="3"/>
        <v>8.8000000000000007</v>
      </c>
    </row>
    <row r="116" spans="1:10" x14ac:dyDescent="0.2">
      <c r="A116" s="1"/>
      <c r="B116" s="1" t="s">
        <v>224</v>
      </c>
      <c r="C116" s="1"/>
      <c r="D116" s="1"/>
      <c r="E116" s="1">
        <v>3.9</v>
      </c>
      <c r="F116" s="1"/>
      <c r="G116" s="1"/>
      <c r="H116" s="1"/>
      <c r="I116" s="1"/>
      <c r="J116" s="1">
        <f t="shared" si="3"/>
        <v>3.9</v>
      </c>
    </row>
    <row r="117" spans="1:10" x14ac:dyDescent="0.2">
      <c r="A117" s="1"/>
      <c r="B117" s="1" t="s">
        <v>225</v>
      </c>
      <c r="C117" s="1"/>
      <c r="D117" s="1"/>
      <c r="E117" s="1">
        <v>3.3</v>
      </c>
      <c r="F117" s="1"/>
      <c r="G117" s="1"/>
      <c r="H117" s="1"/>
      <c r="I117" s="1"/>
      <c r="J117" s="1">
        <f t="shared" si="3"/>
        <v>3.3</v>
      </c>
    </row>
    <row r="118" spans="1:10" x14ac:dyDescent="0.2">
      <c r="A118" s="1"/>
      <c r="B118" s="1" t="s">
        <v>226</v>
      </c>
      <c r="C118" s="1"/>
      <c r="D118" s="1"/>
      <c r="E118" s="1">
        <v>13.5</v>
      </c>
      <c r="F118" s="1"/>
      <c r="G118" s="1"/>
      <c r="H118" s="1"/>
      <c r="I118" s="1"/>
      <c r="J118" s="1">
        <f t="shared" si="3"/>
        <v>13.5</v>
      </c>
    </row>
    <row r="119" spans="1:10" x14ac:dyDescent="0.2">
      <c r="A119" s="1"/>
      <c r="B119" s="1" t="s">
        <v>227</v>
      </c>
      <c r="C119" s="1"/>
      <c r="D119" s="1"/>
      <c r="E119" s="1">
        <v>3.65</v>
      </c>
      <c r="F119" s="1"/>
      <c r="G119" s="1"/>
      <c r="H119" s="1"/>
      <c r="I119" s="1"/>
      <c r="J119" s="1">
        <f t="shared" si="3"/>
        <v>3.65</v>
      </c>
    </row>
    <row r="120" spans="1:10" x14ac:dyDescent="0.2">
      <c r="A120" s="1"/>
      <c r="B120" s="1" t="s">
        <v>228</v>
      </c>
      <c r="C120" s="1"/>
      <c r="D120" s="1"/>
      <c r="E120" s="1">
        <v>5</v>
      </c>
      <c r="F120" s="1"/>
      <c r="G120" s="1"/>
      <c r="H120" s="1"/>
      <c r="I120" s="1"/>
      <c r="J120" s="1">
        <f t="shared" si="3"/>
        <v>5</v>
      </c>
    </row>
    <row r="121" spans="1:10" x14ac:dyDescent="0.2">
      <c r="A121" s="1"/>
      <c r="B121" s="1" t="s">
        <v>229</v>
      </c>
      <c r="C121" s="1"/>
      <c r="D121" s="1"/>
      <c r="E121" s="1">
        <v>11.5</v>
      </c>
      <c r="F121" s="1"/>
      <c r="G121" s="1"/>
      <c r="H121" s="1"/>
      <c r="I121" s="1"/>
      <c r="J121" s="1">
        <f t="shared" si="3"/>
        <v>11.5</v>
      </c>
    </row>
    <row r="122" spans="1:10" x14ac:dyDescent="0.2">
      <c r="A122" s="1"/>
      <c r="B122" s="1" t="s">
        <v>230</v>
      </c>
      <c r="C122" s="1"/>
      <c r="D122" s="1"/>
      <c r="E122" s="1">
        <v>1</v>
      </c>
      <c r="F122" s="1"/>
      <c r="G122" s="1"/>
      <c r="H122" s="1"/>
      <c r="I122" s="1"/>
      <c r="J122" s="1">
        <f t="shared" si="3"/>
        <v>1</v>
      </c>
    </row>
    <row r="123" spans="1:10" x14ac:dyDescent="0.2">
      <c r="A123" s="1"/>
      <c r="B123" s="1" t="s">
        <v>231</v>
      </c>
      <c r="C123" s="1"/>
      <c r="D123" s="1"/>
      <c r="E123" s="1">
        <v>1</v>
      </c>
      <c r="F123" s="1"/>
      <c r="G123" s="1"/>
      <c r="H123" s="1"/>
      <c r="I123" s="1"/>
      <c r="J123" s="1">
        <f t="shared" si="3"/>
        <v>1</v>
      </c>
    </row>
    <row r="124" spans="1:10" x14ac:dyDescent="0.2">
      <c r="A124" s="1"/>
      <c r="B124" s="1" t="s">
        <v>232</v>
      </c>
      <c r="C124" s="1"/>
      <c r="D124" s="1"/>
      <c r="E124" s="1">
        <v>1</v>
      </c>
      <c r="F124" s="1"/>
      <c r="G124" s="1"/>
      <c r="H124" s="1"/>
      <c r="I124" s="1"/>
      <c r="J124" s="1">
        <f t="shared" si="3"/>
        <v>1</v>
      </c>
    </row>
    <row r="125" spans="1:10" x14ac:dyDescent="0.2">
      <c r="A125" s="1"/>
      <c r="B125" s="1" t="s">
        <v>233</v>
      </c>
      <c r="C125" s="1"/>
      <c r="D125" s="1"/>
      <c r="E125" s="1">
        <v>10</v>
      </c>
      <c r="F125" s="1"/>
      <c r="G125" s="1"/>
      <c r="H125" s="1"/>
      <c r="I125" s="1"/>
      <c r="J125" s="1">
        <f t="shared" si="3"/>
        <v>10</v>
      </c>
    </row>
    <row r="126" spans="1:10" x14ac:dyDescent="0.2">
      <c r="A126" s="1"/>
      <c r="B126" s="1" t="s">
        <v>234</v>
      </c>
      <c r="C126" s="1"/>
      <c r="D126" s="1"/>
      <c r="E126" s="1">
        <v>1</v>
      </c>
      <c r="F126" s="1"/>
      <c r="G126" s="1"/>
      <c r="H126" s="1"/>
      <c r="I126" s="1"/>
      <c r="J126" s="1">
        <f t="shared" si="3"/>
        <v>1</v>
      </c>
    </row>
    <row r="127" spans="1:10" x14ac:dyDescent="0.2">
      <c r="A127" s="1"/>
      <c r="B127" s="1" t="s">
        <v>235</v>
      </c>
      <c r="C127" s="1"/>
      <c r="D127" s="1"/>
      <c r="E127" s="1">
        <v>1</v>
      </c>
      <c r="F127" s="1"/>
      <c r="G127" s="1"/>
      <c r="H127" s="1"/>
      <c r="I127" s="1"/>
      <c r="J127" s="1">
        <f t="shared" si="3"/>
        <v>1</v>
      </c>
    </row>
    <row r="128" spans="1:10" x14ac:dyDescent="0.2">
      <c r="A128" s="1"/>
      <c r="B128" s="1" t="s">
        <v>236</v>
      </c>
      <c r="C128" s="1"/>
      <c r="D128" s="1"/>
      <c r="E128" s="1">
        <v>5.45</v>
      </c>
      <c r="F128" s="1"/>
      <c r="G128" s="1"/>
      <c r="H128" s="1"/>
      <c r="I128" s="1"/>
      <c r="J128" s="1">
        <f t="shared" si="3"/>
        <v>5.45</v>
      </c>
    </row>
    <row r="129" spans="1:10" x14ac:dyDescent="0.2">
      <c r="A129" s="1"/>
      <c r="B129" s="1" t="s">
        <v>237</v>
      </c>
      <c r="C129" s="1"/>
      <c r="D129" s="1"/>
      <c r="E129" s="1">
        <v>7.5</v>
      </c>
      <c r="F129" s="1"/>
      <c r="G129" s="1"/>
      <c r="H129" s="1"/>
      <c r="I129" s="1"/>
      <c r="J129" s="1">
        <f t="shared" si="3"/>
        <v>7.5</v>
      </c>
    </row>
    <row r="130" spans="1:10" x14ac:dyDescent="0.2">
      <c r="A130" s="1"/>
      <c r="B130" s="1" t="s">
        <v>238</v>
      </c>
      <c r="C130" s="1"/>
      <c r="D130" s="1"/>
      <c r="E130" s="1">
        <v>3.5</v>
      </c>
      <c r="F130" s="1"/>
      <c r="G130" s="1"/>
      <c r="H130" s="1"/>
      <c r="I130" s="1"/>
      <c r="J130" s="1">
        <f t="shared" ref="J130:J151" si="4">+C130*D130+E130+F130+G130+H130+I130</f>
        <v>3.5</v>
      </c>
    </row>
    <row r="131" spans="1:10" x14ac:dyDescent="0.2">
      <c r="A131" s="1"/>
      <c r="B131" s="1" t="s">
        <v>239</v>
      </c>
      <c r="C131" s="1"/>
      <c r="D131" s="1"/>
      <c r="E131" s="1">
        <v>7</v>
      </c>
      <c r="F131" s="1"/>
      <c r="G131" s="1"/>
      <c r="H131" s="1"/>
      <c r="I131" s="1"/>
      <c r="J131" s="1">
        <f t="shared" si="4"/>
        <v>7</v>
      </c>
    </row>
    <row r="132" spans="1:10" x14ac:dyDescent="0.2">
      <c r="A132" s="1"/>
      <c r="B132" s="1" t="s">
        <v>240</v>
      </c>
      <c r="C132" s="1"/>
      <c r="D132" s="1"/>
      <c r="E132" s="1">
        <v>8.75</v>
      </c>
      <c r="F132" s="1"/>
      <c r="G132" s="1"/>
      <c r="H132" s="1"/>
      <c r="I132" s="1"/>
      <c r="J132" s="1">
        <f t="shared" si="4"/>
        <v>8.75</v>
      </c>
    </row>
    <row r="133" spans="1:10" x14ac:dyDescent="0.2">
      <c r="A133" s="1"/>
      <c r="B133" s="1" t="s">
        <v>241</v>
      </c>
      <c r="C133" s="1"/>
      <c r="D133" s="1"/>
      <c r="E133" s="1">
        <v>10</v>
      </c>
      <c r="F133" s="1"/>
      <c r="G133" s="1"/>
      <c r="H133" s="1"/>
      <c r="I133" s="1"/>
      <c r="J133" s="1">
        <f t="shared" si="4"/>
        <v>10</v>
      </c>
    </row>
    <row r="134" spans="1:10" x14ac:dyDescent="0.2">
      <c r="A134" s="1"/>
      <c r="B134" s="1" t="s">
        <v>242</v>
      </c>
      <c r="C134" s="1"/>
      <c r="D134" s="1"/>
      <c r="E134" s="1">
        <v>5.5</v>
      </c>
      <c r="F134" s="1"/>
      <c r="G134" s="1"/>
      <c r="H134" s="1"/>
      <c r="I134" s="1"/>
      <c r="J134" s="1">
        <f t="shared" si="4"/>
        <v>5.5</v>
      </c>
    </row>
    <row r="135" spans="1:10" x14ac:dyDescent="0.2">
      <c r="A135" s="1"/>
      <c r="B135" s="1" t="s">
        <v>243</v>
      </c>
      <c r="C135" s="1"/>
      <c r="D135" s="1"/>
      <c r="E135" s="1">
        <v>9.4</v>
      </c>
      <c r="F135" s="1"/>
      <c r="G135" s="1"/>
      <c r="H135" s="1"/>
      <c r="I135" s="1"/>
      <c r="J135" s="1">
        <f t="shared" si="4"/>
        <v>9.4</v>
      </c>
    </row>
    <row r="136" spans="1:10" x14ac:dyDescent="0.2">
      <c r="A136" s="1"/>
      <c r="B136" s="1" t="s">
        <v>244</v>
      </c>
      <c r="C136" s="1"/>
      <c r="D136" s="1"/>
      <c r="E136" s="1">
        <v>9.5</v>
      </c>
      <c r="F136" s="1"/>
      <c r="G136" s="1"/>
      <c r="H136" s="1"/>
      <c r="I136" s="1"/>
      <c r="J136" s="1">
        <f t="shared" si="4"/>
        <v>9.5</v>
      </c>
    </row>
    <row r="137" spans="1:10" x14ac:dyDescent="0.2">
      <c r="A137" s="1"/>
      <c r="B137" s="1" t="s">
        <v>245</v>
      </c>
      <c r="C137" s="1"/>
      <c r="D137" s="1"/>
      <c r="E137" s="1">
        <v>2.5</v>
      </c>
      <c r="F137" s="1"/>
      <c r="G137" s="1"/>
      <c r="H137" s="1"/>
      <c r="I137" s="1"/>
      <c r="J137" s="1">
        <f t="shared" si="4"/>
        <v>2.5</v>
      </c>
    </row>
    <row r="138" spans="1:10" x14ac:dyDescent="0.2">
      <c r="A138" s="1"/>
      <c r="B138" s="1" t="s">
        <v>246</v>
      </c>
      <c r="C138" s="1"/>
      <c r="D138" s="1"/>
      <c r="E138" s="1">
        <v>3.4</v>
      </c>
      <c r="F138" s="1"/>
      <c r="G138" s="1"/>
      <c r="H138" s="1"/>
      <c r="I138" s="1"/>
      <c r="J138" s="1">
        <f t="shared" si="4"/>
        <v>3.4</v>
      </c>
    </row>
    <row r="139" spans="1:10" x14ac:dyDescent="0.2">
      <c r="A139" s="1"/>
      <c r="B139" s="1" t="s">
        <v>247</v>
      </c>
      <c r="C139" s="1"/>
      <c r="D139" s="1"/>
      <c r="E139" s="1">
        <v>5.2</v>
      </c>
      <c r="F139" s="1"/>
      <c r="G139" s="1"/>
      <c r="H139" s="1"/>
      <c r="I139" s="1"/>
      <c r="J139" s="1">
        <f t="shared" si="4"/>
        <v>5.2</v>
      </c>
    </row>
    <row r="140" spans="1:10" x14ac:dyDescent="0.2">
      <c r="A140" s="1"/>
      <c r="B140" s="1" t="s">
        <v>248</v>
      </c>
      <c r="C140" s="1"/>
      <c r="D140" s="1"/>
      <c r="E140" s="1">
        <v>6.7</v>
      </c>
      <c r="F140" s="1"/>
      <c r="G140" s="1"/>
      <c r="H140" s="1"/>
      <c r="I140" s="1"/>
      <c r="J140" s="1">
        <f t="shared" si="4"/>
        <v>6.7</v>
      </c>
    </row>
    <row r="141" spans="1:10" x14ac:dyDescent="0.2">
      <c r="A141" s="1"/>
      <c r="B141" s="1" t="s">
        <v>249</v>
      </c>
      <c r="C141" s="1"/>
      <c r="D141" s="1"/>
      <c r="E141" s="1">
        <v>10</v>
      </c>
      <c r="F141" s="1"/>
      <c r="G141" s="1"/>
      <c r="H141" s="1"/>
      <c r="I141" s="1"/>
      <c r="J141" s="1">
        <f t="shared" si="4"/>
        <v>10</v>
      </c>
    </row>
    <row r="142" spans="1:10" x14ac:dyDescent="0.2">
      <c r="A142" s="1"/>
      <c r="B142" s="1" t="s">
        <v>250</v>
      </c>
      <c r="C142" s="1"/>
      <c r="D142" s="1"/>
      <c r="E142" s="1">
        <v>10</v>
      </c>
      <c r="F142" s="1"/>
      <c r="G142" s="1"/>
      <c r="H142" s="1"/>
      <c r="I142" s="1"/>
      <c r="J142" s="1">
        <f t="shared" si="4"/>
        <v>10</v>
      </c>
    </row>
    <row r="143" spans="1:10" x14ac:dyDescent="0.2">
      <c r="A143" s="1"/>
      <c r="B143" s="1" t="s">
        <v>251</v>
      </c>
      <c r="C143" s="1"/>
      <c r="D143" s="1"/>
      <c r="E143" s="1">
        <v>5.7</v>
      </c>
      <c r="F143" s="1"/>
      <c r="G143" s="1"/>
      <c r="H143" s="1"/>
      <c r="I143" s="1"/>
      <c r="J143" s="1">
        <f t="shared" si="4"/>
        <v>5.7</v>
      </c>
    </row>
    <row r="144" spans="1:10" x14ac:dyDescent="0.2">
      <c r="A144" s="1"/>
      <c r="B144" s="1" t="s">
        <v>252</v>
      </c>
      <c r="C144" s="1"/>
      <c r="D144" s="1"/>
      <c r="E144" s="1">
        <v>5.7</v>
      </c>
      <c r="F144" s="1">
        <v>3</v>
      </c>
      <c r="G144" s="1"/>
      <c r="H144" s="1"/>
      <c r="I144" s="1"/>
      <c r="J144" s="1">
        <f t="shared" si="4"/>
        <v>8.6999999999999993</v>
      </c>
    </row>
    <row r="145" spans="1:10" x14ac:dyDescent="0.2">
      <c r="A145" s="1"/>
      <c r="B145" s="1" t="s">
        <v>253</v>
      </c>
      <c r="C145" s="1"/>
      <c r="D145" s="1"/>
      <c r="E145" s="1">
        <v>8</v>
      </c>
      <c r="F145" s="1"/>
      <c r="G145" s="1"/>
      <c r="H145" s="1"/>
      <c r="I145" s="1"/>
      <c r="J145" s="1">
        <f t="shared" si="4"/>
        <v>8</v>
      </c>
    </row>
    <row r="146" spans="1:10" x14ac:dyDescent="0.2">
      <c r="A146" s="1"/>
      <c r="B146" s="1" t="s">
        <v>254</v>
      </c>
      <c r="C146" s="1"/>
      <c r="D146" s="1"/>
      <c r="E146" s="1">
        <v>10</v>
      </c>
      <c r="F146" s="1"/>
      <c r="G146" s="1"/>
      <c r="H146" s="1"/>
      <c r="I146" s="1"/>
      <c r="J146" s="1">
        <f t="shared" si="4"/>
        <v>10</v>
      </c>
    </row>
    <row r="147" spans="1:10" x14ac:dyDescent="0.2">
      <c r="A147" s="1"/>
      <c r="B147" s="1" t="s">
        <v>255</v>
      </c>
      <c r="C147" s="1"/>
      <c r="D147" s="1"/>
      <c r="E147" s="1">
        <v>11</v>
      </c>
      <c r="F147" s="1"/>
      <c r="G147" s="1"/>
      <c r="H147" s="1"/>
      <c r="I147" s="1"/>
      <c r="J147" s="1">
        <f t="shared" si="4"/>
        <v>11</v>
      </c>
    </row>
    <row r="148" spans="1:10" x14ac:dyDescent="0.2">
      <c r="A148" s="1"/>
      <c r="B148" s="1" t="s">
        <v>256</v>
      </c>
      <c r="C148" s="1"/>
      <c r="D148" s="1"/>
      <c r="E148" s="1">
        <v>19.3</v>
      </c>
      <c r="F148" s="1">
        <v>7.4</v>
      </c>
      <c r="G148" s="1"/>
      <c r="H148" s="1"/>
      <c r="I148" s="1"/>
      <c r="J148" s="1">
        <f t="shared" si="4"/>
        <v>26.700000000000003</v>
      </c>
    </row>
    <row r="149" spans="1:10" x14ac:dyDescent="0.2">
      <c r="A149" s="1"/>
      <c r="B149" s="1" t="s">
        <v>257</v>
      </c>
      <c r="C149" s="1"/>
      <c r="D149" s="1"/>
      <c r="E149" s="1">
        <v>7.5</v>
      </c>
      <c r="F149" s="1"/>
      <c r="G149" s="1"/>
      <c r="H149" s="1"/>
      <c r="I149" s="1"/>
      <c r="J149" s="1">
        <f t="shared" si="4"/>
        <v>7.5</v>
      </c>
    </row>
    <row r="150" spans="1:10" x14ac:dyDescent="0.2">
      <c r="A150" s="1"/>
      <c r="B150" s="1" t="s">
        <v>258</v>
      </c>
      <c r="C150" s="1"/>
      <c r="D150" s="1"/>
      <c r="E150" s="1">
        <v>4.9000000000000004</v>
      </c>
      <c r="F150" s="1">
        <v>12</v>
      </c>
      <c r="G150" s="1"/>
      <c r="H150" s="1"/>
      <c r="I150" s="1"/>
      <c r="J150" s="1">
        <f t="shared" si="4"/>
        <v>16.899999999999999</v>
      </c>
    </row>
    <row r="151" spans="1:10" x14ac:dyDescent="0.2">
      <c r="A151" s="1"/>
      <c r="B151" s="1" t="s">
        <v>259</v>
      </c>
      <c r="C151" s="1"/>
      <c r="D151" s="1"/>
      <c r="E151" s="1">
        <v>7.6</v>
      </c>
      <c r="F151" s="1"/>
      <c r="G151" s="1"/>
      <c r="H151" s="1"/>
      <c r="I151" s="1"/>
      <c r="J151" s="1">
        <f t="shared" si="4"/>
        <v>7.6</v>
      </c>
    </row>
    <row r="152" spans="1:10" x14ac:dyDescent="0.2">
      <c r="A152" s="1"/>
      <c r="B152" s="1" t="s">
        <v>260</v>
      </c>
      <c r="C152" s="1"/>
      <c r="D152" s="1"/>
      <c r="E152" s="1">
        <v>9</v>
      </c>
      <c r="F152" s="1"/>
      <c r="G152" s="1"/>
      <c r="H152" s="1"/>
      <c r="I152" s="1"/>
      <c r="J152" s="1">
        <f t="shared" ref="J152:J202" si="5">+C152*D152+E152+F152+G152+H152+I152</f>
        <v>9</v>
      </c>
    </row>
    <row r="153" spans="1:10" x14ac:dyDescent="0.2">
      <c r="A153" s="1"/>
      <c r="B153" s="1" t="s">
        <v>261</v>
      </c>
      <c r="C153" s="1"/>
      <c r="D153" s="1"/>
      <c r="E153" s="1">
        <v>1.8</v>
      </c>
      <c r="F153" s="1"/>
      <c r="G153" s="1"/>
      <c r="H153" s="1"/>
      <c r="I153" s="1"/>
      <c r="J153" s="1">
        <f t="shared" si="5"/>
        <v>1.8</v>
      </c>
    </row>
    <row r="154" spans="1:10" x14ac:dyDescent="0.2">
      <c r="A154" s="1"/>
      <c r="B154" s="1" t="s">
        <v>262</v>
      </c>
      <c r="C154" s="1"/>
      <c r="D154" s="1"/>
      <c r="E154" s="1">
        <v>5.4</v>
      </c>
      <c r="F154" s="1"/>
      <c r="G154" s="1"/>
      <c r="H154" s="1"/>
      <c r="I154" s="1"/>
      <c r="J154" s="1">
        <f t="shared" si="5"/>
        <v>5.4</v>
      </c>
    </row>
    <row r="155" spans="1:10" x14ac:dyDescent="0.2">
      <c r="A155" s="1"/>
      <c r="B155" s="1" t="s">
        <v>263</v>
      </c>
      <c r="C155" s="1"/>
      <c r="D155" s="1"/>
      <c r="E155" s="1">
        <v>7.1</v>
      </c>
      <c r="F155" s="1"/>
      <c r="G155" s="1"/>
      <c r="H155" s="1"/>
      <c r="I155" s="1"/>
      <c r="J155" s="1">
        <f t="shared" si="5"/>
        <v>7.1</v>
      </c>
    </row>
    <row r="156" spans="1:10" x14ac:dyDescent="0.2">
      <c r="A156" s="1"/>
      <c r="B156" s="1" t="s">
        <v>264</v>
      </c>
      <c r="C156" s="1"/>
      <c r="D156" s="1"/>
      <c r="E156" s="1">
        <v>6.8</v>
      </c>
      <c r="F156" s="1"/>
      <c r="G156" s="1"/>
      <c r="H156" s="1"/>
      <c r="I156" s="1"/>
      <c r="J156" s="1">
        <f t="shared" si="5"/>
        <v>6.8</v>
      </c>
    </row>
    <row r="157" spans="1:10" x14ac:dyDescent="0.2">
      <c r="A157" s="1"/>
      <c r="B157" s="1" t="s">
        <v>265</v>
      </c>
      <c r="C157" s="1"/>
      <c r="D157" s="1"/>
      <c r="E157" s="1">
        <v>1</v>
      </c>
      <c r="F157" s="1">
        <v>9.3000000000000007</v>
      </c>
      <c r="G157" s="1"/>
      <c r="H157" s="1"/>
      <c r="I157" s="1"/>
      <c r="J157" s="1">
        <f t="shared" si="5"/>
        <v>10.3</v>
      </c>
    </row>
    <row r="158" spans="1:10" x14ac:dyDescent="0.2">
      <c r="A158" s="1"/>
      <c r="B158" s="1" t="s">
        <v>266</v>
      </c>
      <c r="C158" s="1"/>
      <c r="D158" s="1"/>
      <c r="E158" s="1">
        <v>4.2</v>
      </c>
      <c r="F158" s="1"/>
      <c r="G158" s="1"/>
      <c r="H158" s="1"/>
      <c r="I158" s="1"/>
      <c r="J158" s="1">
        <f t="shared" si="5"/>
        <v>4.2</v>
      </c>
    </row>
    <row r="159" spans="1:10" x14ac:dyDescent="0.2">
      <c r="A159" s="1"/>
      <c r="B159" s="1" t="s">
        <v>267</v>
      </c>
      <c r="C159" s="1"/>
      <c r="D159" s="1"/>
      <c r="E159" s="1">
        <v>7</v>
      </c>
      <c r="F159" s="1"/>
      <c r="G159" s="1"/>
      <c r="H159" s="1"/>
      <c r="I159" s="1"/>
      <c r="J159" s="1">
        <f t="shared" si="5"/>
        <v>7</v>
      </c>
    </row>
    <row r="160" spans="1:10" x14ac:dyDescent="0.2">
      <c r="A160" s="1"/>
      <c r="B160" s="1" t="s">
        <v>268</v>
      </c>
      <c r="C160" s="1"/>
      <c r="D160" s="1"/>
      <c r="E160" s="1">
        <v>7</v>
      </c>
      <c r="F160" s="1"/>
      <c r="G160" s="1"/>
      <c r="H160" s="1"/>
      <c r="I160" s="1"/>
      <c r="J160" s="1">
        <f t="shared" si="5"/>
        <v>7</v>
      </c>
    </row>
    <row r="161" spans="1:10" x14ac:dyDescent="0.2">
      <c r="A161" s="1"/>
      <c r="B161" s="1" t="s">
        <v>269</v>
      </c>
      <c r="C161" s="1"/>
      <c r="D161" s="1"/>
      <c r="E161" s="1">
        <v>7.3</v>
      </c>
      <c r="F161" s="1"/>
      <c r="G161" s="1"/>
      <c r="H161" s="1"/>
      <c r="I161" s="1"/>
      <c r="J161" s="1">
        <f t="shared" si="5"/>
        <v>7.3</v>
      </c>
    </row>
    <row r="162" spans="1:10" x14ac:dyDescent="0.2">
      <c r="A162" s="1"/>
      <c r="B162" s="1" t="s">
        <v>270</v>
      </c>
      <c r="C162" s="1"/>
      <c r="D162" s="1"/>
      <c r="E162" s="1">
        <v>6</v>
      </c>
      <c r="F162" s="1"/>
      <c r="G162" s="1"/>
      <c r="H162" s="1"/>
      <c r="I162" s="1"/>
      <c r="J162" s="1">
        <f t="shared" si="5"/>
        <v>6</v>
      </c>
    </row>
    <row r="163" spans="1:10" x14ac:dyDescent="0.2">
      <c r="A163" s="1"/>
      <c r="B163" s="1" t="s">
        <v>271</v>
      </c>
      <c r="C163" s="1"/>
      <c r="D163" s="1"/>
      <c r="E163" s="1">
        <v>14.1</v>
      </c>
      <c r="F163" s="1"/>
      <c r="G163" s="1"/>
      <c r="H163" s="1"/>
      <c r="I163" s="1"/>
      <c r="J163" s="1">
        <f t="shared" si="5"/>
        <v>14.1</v>
      </c>
    </row>
    <row r="164" spans="1:10" x14ac:dyDescent="0.2">
      <c r="A164" s="1"/>
      <c r="B164" s="1" t="s">
        <v>272</v>
      </c>
      <c r="C164" s="1"/>
      <c r="D164" s="1"/>
      <c r="E164" s="1">
        <v>9</v>
      </c>
      <c r="F164" s="1"/>
      <c r="G164" s="1"/>
      <c r="H164" s="1"/>
      <c r="I164" s="1"/>
      <c r="J164" s="1">
        <f t="shared" si="5"/>
        <v>9</v>
      </c>
    </row>
    <row r="165" spans="1:10" x14ac:dyDescent="0.2">
      <c r="A165" s="1"/>
      <c r="B165" s="1" t="s">
        <v>273</v>
      </c>
      <c r="C165" s="1"/>
      <c r="D165" s="1"/>
      <c r="E165" s="1">
        <v>12.6</v>
      </c>
      <c r="F165" s="1"/>
      <c r="G165" s="1"/>
      <c r="H165" s="1"/>
      <c r="I165" s="1"/>
      <c r="J165" s="1">
        <f t="shared" si="5"/>
        <v>12.6</v>
      </c>
    </row>
    <row r="166" spans="1:10" x14ac:dyDescent="0.2">
      <c r="A166" s="1"/>
      <c r="B166" s="1" t="s">
        <v>274</v>
      </c>
      <c r="C166" s="1"/>
      <c r="D166" s="1"/>
      <c r="E166" s="1">
        <v>2.4</v>
      </c>
      <c r="F166" s="1"/>
      <c r="G166" s="1"/>
      <c r="H166" s="1"/>
      <c r="I166" s="1"/>
      <c r="J166" s="1">
        <f t="shared" si="5"/>
        <v>2.4</v>
      </c>
    </row>
    <row r="167" spans="1:10" x14ac:dyDescent="0.2">
      <c r="A167" s="1"/>
      <c r="B167" s="1" t="s">
        <v>275</v>
      </c>
      <c r="C167" s="1"/>
      <c r="D167" s="1"/>
      <c r="E167" s="1">
        <v>7.6</v>
      </c>
      <c r="F167" s="1"/>
      <c r="G167" s="1"/>
      <c r="H167" s="1"/>
      <c r="I167" s="1"/>
      <c r="J167" s="1">
        <f t="shared" si="5"/>
        <v>7.6</v>
      </c>
    </row>
    <row r="168" spans="1:10" x14ac:dyDescent="0.2">
      <c r="A168" s="1"/>
      <c r="B168" s="1" t="s">
        <v>276</v>
      </c>
      <c r="C168" s="1"/>
      <c r="D168" s="1"/>
      <c r="E168" s="1">
        <v>10</v>
      </c>
      <c r="F168" s="1"/>
      <c r="G168" s="1"/>
      <c r="H168" s="1"/>
      <c r="I168" s="1"/>
      <c r="J168" s="1">
        <f t="shared" si="5"/>
        <v>10</v>
      </c>
    </row>
    <row r="169" spans="1:10" x14ac:dyDescent="0.2">
      <c r="A169" s="1"/>
      <c r="B169" s="1" t="s">
        <v>277</v>
      </c>
      <c r="C169" s="1"/>
      <c r="D169" s="1"/>
      <c r="E169" s="1">
        <v>7.3</v>
      </c>
      <c r="F169" s="1"/>
      <c r="G169" s="1"/>
      <c r="H169" s="1"/>
      <c r="I169" s="1"/>
      <c r="J169" s="1">
        <f t="shared" si="5"/>
        <v>7.3</v>
      </c>
    </row>
    <row r="170" spans="1:10" x14ac:dyDescent="0.2">
      <c r="A170" s="1"/>
      <c r="B170" s="1" t="s">
        <v>278</v>
      </c>
      <c r="C170" s="1"/>
      <c r="D170" s="1"/>
      <c r="E170" s="1">
        <v>7.3</v>
      </c>
      <c r="F170" s="1"/>
      <c r="G170" s="1"/>
      <c r="H170" s="1"/>
      <c r="I170" s="1"/>
      <c r="J170" s="1">
        <f t="shared" si="5"/>
        <v>7.3</v>
      </c>
    </row>
    <row r="171" spans="1:10" x14ac:dyDescent="0.2">
      <c r="A171" s="1"/>
      <c r="B171" s="1" t="s">
        <v>279</v>
      </c>
      <c r="C171" s="1"/>
      <c r="D171" s="1"/>
      <c r="E171" s="1">
        <v>5</v>
      </c>
      <c r="F171" s="1"/>
      <c r="G171" s="1"/>
      <c r="H171" s="1"/>
      <c r="I171" s="1"/>
      <c r="J171" s="1">
        <f t="shared" si="5"/>
        <v>5</v>
      </c>
    </row>
    <row r="172" spans="1:10" x14ac:dyDescent="0.2">
      <c r="A172" s="1"/>
      <c r="B172" s="1" t="s">
        <v>280</v>
      </c>
      <c r="C172" s="1"/>
      <c r="D172" s="1"/>
      <c r="E172" s="1">
        <v>7.6</v>
      </c>
      <c r="F172" s="1"/>
      <c r="G172" s="1"/>
      <c r="H172" s="1"/>
      <c r="I172" s="1"/>
      <c r="J172" s="1">
        <f t="shared" si="5"/>
        <v>7.6</v>
      </c>
    </row>
    <row r="173" spans="1:10" x14ac:dyDescent="0.2">
      <c r="A173" s="1"/>
      <c r="B173" s="1" t="s">
        <v>281</v>
      </c>
      <c r="C173" s="1"/>
      <c r="D173" s="1"/>
      <c r="E173" s="1">
        <v>11</v>
      </c>
      <c r="F173" s="1"/>
      <c r="G173" s="1"/>
      <c r="H173" s="1"/>
      <c r="I173" s="1"/>
      <c r="J173" s="1">
        <f t="shared" si="5"/>
        <v>11</v>
      </c>
    </row>
    <row r="174" spans="1:10" x14ac:dyDescent="0.2">
      <c r="A174" s="1"/>
      <c r="B174" s="1" t="s">
        <v>282</v>
      </c>
      <c r="C174" s="1"/>
      <c r="D174" s="1"/>
      <c r="E174" s="1">
        <v>7</v>
      </c>
      <c r="F174" s="1"/>
      <c r="G174" s="1"/>
      <c r="H174" s="1"/>
      <c r="I174" s="1"/>
      <c r="J174" s="1">
        <f t="shared" si="5"/>
        <v>7</v>
      </c>
    </row>
    <row r="175" spans="1:10" x14ac:dyDescent="0.2">
      <c r="A175" s="1"/>
      <c r="B175" s="1" t="s">
        <v>283</v>
      </c>
      <c r="C175" s="1"/>
      <c r="D175" s="1"/>
      <c r="E175" s="1">
        <v>1.8</v>
      </c>
      <c r="F175" s="1"/>
      <c r="G175" s="1"/>
      <c r="H175" s="1"/>
      <c r="I175" s="1"/>
      <c r="J175" s="1">
        <f t="shared" si="5"/>
        <v>1.8</v>
      </c>
    </row>
    <row r="176" spans="1:10" x14ac:dyDescent="0.2">
      <c r="A176" s="1"/>
      <c r="B176" s="1" t="s">
        <v>284</v>
      </c>
      <c r="C176" s="1"/>
      <c r="D176" s="1"/>
      <c r="E176" s="1">
        <v>2.8</v>
      </c>
      <c r="F176" s="1"/>
      <c r="G176" s="1"/>
      <c r="H176" s="1"/>
      <c r="I176" s="1"/>
      <c r="J176" s="1">
        <f t="shared" si="5"/>
        <v>2.8</v>
      </c>
    </row>
    <row r="177" spans="1:10" x14ac:dyDescent="0.2">
      <c r="A177" s="1"/>
      <c r="B177" s="1" t="s">
        <v>285</v>
      </c>
      <c r="C177" s="1"/>
      <c r="D177" s="1"/>
      <c r="E177" s="1">
        <v>3</v>
      </c>
      <c r="F177" s="1"/>
      <c r="G177" s="1"/>
      <c r="H177" s="1"/>
      <c r="I177" s="1"/>
      <c r="J177" s="1">
        <f t="shared" si="5"/>
        <v>3</v>
      </c>
    </row>
    <row r="178" spans="1:10" x14ac:dyDescent="0.2">
      <c r="A178" s="1"/>
      <c r="B178" s="1" t="s">
        <v>286</v>
      </c>
      <c r="C178" s="1"/>
      <c r="D178" s="1"/>
      <c r="E178" s="1">
        <v>2.65</v>
      </c>
      <c r="F178" s="1"/>
      <c r="G178" s="1"/>
      <c r="H178" s="1"/>
      <c r="I178" s="1"/>
      <c r="J178" s="1">
        <f t="shared" si="5"/>
        <v>2.65</v>
      </c>
    </row>
    <row r="179" spans="1:10" x14ac:dyDescent="0.2">
      <c r="A179" s="1"/>
      <c r="B179" s="1" t="s">
        <v>287</v>
      </c>
      <c r="C179" s="1"/>
      <c r="D179" s="1"/>
      <c r="E179" s="1">
        <v>2.6</v>
      </c>
      <c r="F179" s="1"/>
      <c r="G179" s="1"/>
      <c r="H179" s="1"/>
      <c r="I179" s="1"/>
      <c r="J179" s="1">
        <f t="shared" si="5"/>
        <v>2.6</v>
      </c>
    </row>
    <row r="180" spans="1:10" x14ac:dyDescent="0.2">
      <c r="A180" s="1"/>
      <c r="B180" s="1" t="s">
        <v>288</v>
      </c>
      <c r="C180" s="1"/>
      <c r="D180" s="1"/>
      <c r="E180" s="1">
        <v>3.6</v>
      </c>
      <c r="F180" s="1"/>
      <c r="G180" s="1"/>
      <c r="H180" s="1"/>
      <c r="I180" s="1"/>
      <c r="J180" s="1">
        <f t="shared" si="5"/>
        <v>3.6</v>
      </c>
    </row>
    <row r="181" spans="1:10" x14ac:dyDescent="0.2">
      <c r="A181" s="1"/>
      <c r="B181" s="1" t="s">
        <v>289</v>
      </c>
      <c r="C181" s="1"/>
      <c r="D181" s="1"/>
      <c r="E181" s="1">
        <v>3.3</v>
      </c>
      <c r="F181" s="1"/>
      <c r="G181" s="1"/>
      <c r="H181" s="1"/>
      <c r="I181" s="1"/>
      <c r="J181" s="1">
        <f t="shared" si="5"/>
        <v>3.3</v>
      </c>
    </row>
    <row r="182" spans="1:10" x14ac:dyDescent="0.2">
      <c r="A182" s="1"/>
      <c r="B182" s="1" t="s">
        <v>290</v>
      </c>
      <c r="C182" s="1"/>
      <c r="D182" s="1"/>
      <c r="E182" s="1">
        <v>3.7</v>
      </c>
      <c r="F182" s="1"/>
      <c r="G182" s="1"/>
      <c r="H182" s="1"/>
      <c r="I182" s="1"/>
      <c r="J182" s="1">
        <f t="shared" si="5"/>
        <v>3.7</v>
      </c>
    </row>
    <row r="183" spans="1:10" x14ac:dyDescent="0.2">
      <c r="A183" s="1"/>
      <c r="B183" s="1" t="s">
        <v>291</v>
      </c>
      <c r="C183" s="1"/>
      <c r="D183" s="1"/>
      <c r="E183" s="1">
        <v>4</v>
      </c>
      <c r="F183" s="1"/>
      <c r="G183" s="1"/>
      <c r="H183" s="1"/>
      <c r="I183" s="1"/>
      <c r="J183" s="1">
        <f t="shared" si="5"/>
        <v>4</v>
      </c>
    </row>
    <row r="184" spans="1:10" x14ac:dyDescent="0.2">
      <c r="A184" s="1"/>
      <c r="B184" s="1" t="s">
        <v>292</v>
      </c>
      <c r="C184" s="1"/>
      <c r="D184" s="1"/>
      <c r="E184" s="1">
        <v>4</v>
      </c>
      <c r="F184" s="1"/>
      <c r="G184" s="1"/>
      <c r="H184" s="1"/>
      <c r="I184" s="1"/>
      <c r="J184" s="1">
        <f t="shared" si="5"/>
        <v>4</v>
      </c>
    </row>
    <row r="185" spans="1:10" x14ac:dyDescent="0.2">
      <c r="A185" s="1"/>
      <c r="B185" s="1" t="s">
        <v>293</v>
      </c>
      <c r="C185" s="1"/>
      <c r="D185" s="1"/>
      <c r="E185" s="1">
        <v>6.6</v>
      </c>
      <c r="F185" s="1"/>
      <c r="G185" s="1"/>
      <c r="H185" s="1"/>
      <c r="I185" s="1"/>
      <c r="J185" s="1">
        <f t="shared" si="5"/>
        <v>6.6</v>
      </c>
    </row>
    <row r="186" spans="1:10" x14ac:dyDescent="0.2">
      <c r="A186" s="1"/>
      <c r="B186" s="1" t="s">
        <v>294</v>
      </c>
      <c r="C186" s="1"/>
      <c r="D186" s="1"/>
      <c r="E186" s="1">
        <v>6.2</v>
      </c>
      <c r="F186" s="1"/>
      <c r="G186" s="1"/>
      <c r="H186" s="1"/>
      <c r="I186" s="1"/>
      <c r="J186" s="1">
        <f t="shared" si="5"/>
        <v>6.2</v>
      </c>
    </row>
    <row r="187" spans="1:10" x14ac:dyDescent="0.2">
      <c r="A187" s="1"/>
      <c r="B187" s="1" t="s">
        <v>295</v>
      </c>
      <c r="C187" s="1"/>
      <c r="D187" s="1"/>
      <c r="E187" s="1">
        <v>2.9</v>
      </c>
      <c r="F187" s="1"/>
      <c r="G187" s="1"/>
      <c r="H187" s="1"/>
      <c r="I187" s="1"/>
      <c r="J187" s="1">
        <f t="shared" si="5"/>
        <v>2.9</v>
      </c>
    </row>
    <row r="188" spans="1:10" x14ac:dyDescent="0.2">
      <c r="A188" s="1"/>
      <c r="B188" s="1" t="s">
        <v>296</v>
      </c>
      <c r="C188" s="1"/>
      <c r="D188" s="1"/>
      <c r="E188" s="1">
        <v>2.7</v>
      </c>
      <c r="F188" s="1"/>
      <c r="G188" s="1"/>
      <c r="H188" s="1"/>
      <c r="I188" s="1"/>
      <c r="J188" s="1">
        <f t="shared" si="5"/>
        <v>2.7</v>
      </c>
    </row>
    <row r="189" spans="1:10" x14ac:dyDescent="0.2">
      <c r="A189" s="1"/>
      <c r="B189" s="1" t="s">
        <v>297</v>
      </c>
      <c r="C189" s="1"/>
      <c r="D189" s="1"/>
      <c r="E189" s="1">
        <v>2.9</v>
      </c>
      <c r="F189" s="1"/>
      <c r="G189" s="1"/>
      <c r="H189" s="1"/>
      <c r="I189" s="1"/>
      <c r="J189" s="1">
        <f t="shared" si="5"/>
        <v>2.9</v>
      </c>
    </row>
    <row r="190" spans="1:10" x14ac:dyDescent="0.2">
      <c r="A190" s="1"/>
      <c r="B190" s="1" t="s">
        <v>298</v>
      </c>
      <c r="C190" s="1"/>
      <c r="D190" s="1"/>
      <c r="E190" s="1"/>
      <c r="F190" s="1"/>
      <c r="G190" s="1"/>
      <c r="H190" s="1"/>
      <c r="I190" s="1"/>
      <c r="J190" s="1">
        <f t="shared" si="5"/>
        <v>0</v>
      </c>
    </row>
    <row r="191" spans="1:10" x14ac:dyDescent="0.2">
      <c r="A191" s="1"/>
      <c r="B191" s="1" t="s">
        <v>299</v>
      </c>
      <c r="C191" s="1"/>
      <c r="D191" s="1"/>
      <c r="E191" s="1"/>
      <c r="F191" s="1"/>
      <c r="G191" s="1"/>
      <c r="H191" s="1"/>
      <c r="I191" s="1"/>
      <c r="J191" s="1">
        <f t="shared" si="5"/>
        <v>0</v>
      </c>
    </row>
    <row r="192" spans="1:10" x14ac:dyDescent="0.2">
      <c r="A192" s="1"/>
      <c r="B192" s="1" t="s">
        <v>300</v>
      </c>
      <c r="C192" s="1"/>
      <c r="D192" s="1"/>
      <c r="E192" s="1"/>
      <c r="F192" s="1"/>
      <c r="G192" s="1"/>
      <c r="H192" s="1"/>
      <c r="I192" s="1"/>
      <c r="J192" s="1">
        <f t="shared" si="5"/>
        <v>0</v>
      </c>
    </row>
    <row r="193" spans="1:10" x14ac:dyDescent="0.2">
      <c r="A193" s="1"/>
      <c r="B193" s="1" t="s">
        <v>301</v>
      </c>
      <c r="C193" s="1"/>
      <c r="D193" s="1"/>
      <c r="E193" s="1"/>
      <c r="F193" s="1"/>
      <c r="G193" s="1"/>
      <c r="H193" s="1"/>
      <c r="I193" s="1"/>
      <c r="J193" s="1">
        <f t="shared" si="5"/>
        <v>0</v>
      </c>
    </row>
    <row r="194" spans="1:10" x14ac:dyDescent="0.2">
      <c r="A194" s="1"/>
      <c r="B194" s="1" t="s">
        <v>302</v>
      </c>
      <c r="C194" s="1"/>
      <c r="D194" s="1"/>
      <c r="E194" s="1"/>
      <c r="F194" s="1"/>
      <c r="G194" s="1"/>
      <c r="H194" s="1"/>
      <c r="I194" s="1"/>
      <c r="J194" s="1">
        <f t="shared" si="5"/>
        <v>0</v>
      </c>
    </row>
    <row r="195" spans="1:10" x14ac:dyDescent="0.2">
      <c r="A195" s="1"/>
      <c r="B195" s="1" t="s">
        <v>303</v>
      </c>
      <c r="C195" s="1"/>
      <c r="D195" s="1"/>
      <c r="E195" s="1"/>
      <c r="F195" s="1"/>
      <c r="G195" s="1"/>
      <c r="H195" s="1"/>
      <c r="I195" s="1"/>
      <c r="J195" s="1">
        <f t="shared" si="5"/>
        <v>0</v>
      </c>
    </row>
    <row r="196" spans="1:10" x14ac:dyDescent="0.2">
      <c r="A196" s="1"/>
      <c r="B196" s="1" t="s">
        <v>304</v>
      </c>
      <c r="C196" s="1"/>
      <c r="D196" s="1"/>
      <c r="E196" s="1"/>
      <c r="F196" s="1"/>
      <c r="G196" s="1"/>
      <c r="H196" s="1"/>
      <c r="I196" s="1"/>
      <c r="J196" s="1">
        <f t="shared" si="5"/>
        <v>0</v>
      </c>
    </row>
    <row r="197" spans="1:10" x14ac:dyDescent="0.2">
      <c r="A197" s="1"/>
      <c r="B197" s="1" t="s">
        <v>305</v>
      </c>
      <c r="C197" s="1"/>
      <c r="D197" s="1"/>
      <c r="E197" s="1"/>
      <c r="F197" s="1"/>
      <c r="G197" s="1"/>
      <c r="H197" s="1"/>
      <c r="I197" s="1"/>
      <c r="J197" s="1">
        <f t="shared" si="5"/>
        <v>0</v>
      </c>
    </row>
    <row r="198" spans="1:10" x14ac:dyDescent="0.2">
      <c r="A198" s="1"/>
      <c r="B198" s="1" t="s">
        <v>306</v>
      </c>
      <c r="C198" s="1"/>
      <c r="D198" s="1"/>
      <c r="E198" s="1"/>
      <c r="F198" s="1"/>
      <c r="G198" s="1"/>
      <c r="H198" s="1"/>
      <c r="I198" s="1"/>
      <c r="J198" s="1">
        <f t="shared" si="5"/>
        <v>0</v>
      </c>
    </row>
    <row r="199" spans="1:10" x14ac:dyDescent="0.2">
      <c r="A199" s="1"/>
      <c r="B199" s="1" t="s">
        <v>307</v>
      </c>
      <c r="C199" s="1"/>
      <c r="D199" s="1"/>
      <c r="E199" s="1"/>
      <c r="F199" s="1"/>
      <c r="G199" s="1"/>
      <c r="H199" s="1"/>
      <c r="I199" s="1"/>
      <c r="J199" s="1">
        <f t="shared" si="5"/>
        <v>0</v>
      </c>
    </row>
    <row r="200" spans="1:10" x14ac:dyDescent="0.2">
      <c r="A200" s="1"/>
      <c r="B200" s="1" t="s">
        <v>308</v>
      </c>
      <c r="C200" s="1"/>
      <c r="D200" s="1"/>
      <c r="E200" s="1"/>
      <c r="F200" s="1"/>
      <c r="G200" s="1"/>
      <c r="H200" s="1"/>
      <c r="I200" s="1"/>
      <c r="J200" s="1">
        <f t="shared" si="5"/>
        <v>0</v>
      </c>
    </row>
    <row r="201" spans="1:10" x14ac:dyDescent="0.2">
      <c r="A201" s="1"/>
      <c r="B201" s="1" t="s">
        <v>309</v>
      </c>
      <c r="C201" s="1"/>
      <c r="D201" s="1"/>
      <c r="E201" s="1"/>
      <c r="F201" s="1"/>
      <c r="G201" s="1"/>
      <c r="H201" s="1"/>
      <c r="I201" s="1"/>
      <c r="J201" s="1">
        <f t="shared" si="5"/>
        <v>0</v>
      </c>
    </row>
    <row r="202" spans="1:10" x14ac:dyDescent="0.2">
      <c r="A202" s="1"/>
      <c r="B202" s="1" t="s">
        <v>309</v>
      </c>
      <c r="C202" s="1"/>
      <c r="D202" s="1"/>
      <c r="E202" s="1"/>
      <c r="F202" s="1"/>
      <c r="G202" s="1"/>
      <c r="H202" s="1"/>
      <c r="I202" s="1"/>
      <c r="J202" s="1">
        <f t="shared" si="5"/>
        <v>0</v>
      </c>
    </row>
    <row r="203" spans="1:10" x14ac:dyDescent="0.2">
      <c r="J203" s="1"/>
    </row>
    <row r="204" spans="1:10" x14ac:dyDescent="0.2">
      <c r="J204" s="1"/>
    </row>
    <row r="205" spans="1:10" x14ac:dyDescent="0.2">
      <c r="J205" s="1"/>
    </row>
    <row r="206" spans="1:10" x14ac:dyDescent="0.2">
      <c r="J206" s="1"/>
    </row>
  </sheetData>
  <autoFilter ref="A1:J202" xr:uid="{D915317D-2A05-574E-9E82-3A99FC415215}">
    <sortState xmlns:xlrd2="http://schemas.microsoft.com/office/spreadsheetml/2017/richdata2" ref="A2:J151">
      <sortCondition ref="B1:B1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C4D2-61BF-7D48-BC02-898134BB229F}">
  <dimension ref="B1:O10"/>
  <sheetViews>
    <sheetView workbookViewId="0">
      <selection activeCell="L33" sqref="L33"/>
    </sheetView>
  </sheetViews>
  <sheetFormatPr baseColWidth="10" defaultRowHeight="16" x14ac:dyDescent="0.2"/>
  <sheetData>
    <row r="1" spans="2:15" ht="17" thickBot="1" x14ac:dyDescent="0.25"/>
    <row r="2" spans="2:15" ht="17" thickBot="1" x14ac:dyDescent="0.25">
      <c r="B2" s="8" t="s">
        <v>319</v>
      </c>
      <c r="C2" s="9" t="s">
        <v>320</v>
      </c>
      <c r="E2" s="14" t="s">
        <v>319</v>
      </c>
      <c r="F2" s="15" t="s">
        <v>321</v>
      </c>
      <c r="N2" s="14" t="s">
        <v>319</v>
      </c>
      <c r="O2" s="15" t="s">
        <v>373</v>
      </c>
    </row>
    <row r="3" spans="2:15" x14ac:dyDescent="0.2">
      <c r="B3" s="10" t="s">
        <v>79</v>
      </c>
      <c r="C3" s="11">
        <v>4.75</v>
      </c>
      <c r="E3" s="8" t="s">
        <v>110</v>
      </c>
      <c r="F3" s="9">
        <v>3</v>
      </c>
      <c r="N3" s="8" t="s">
        <v>217</v>
      </c>
      <c r="O3" s="9">
        <v>4</v>
      </c>
    </row>
    <row r="4" spans="2:15" x14ac:dyDescent="0.2">
      <c r="B4" s="10" t="s">
        <v>78</v>
      </c>
      <c r="C4" s="11">
        <v>4.9000000000000004</v>
      </c>
      <c r="E4" s="10" t="s">
        <v>112</v>
      </c>
      <c r="F4" s="11"/>
      <c r="N4" s="10" t="s">
        <v>216</v>
      </c>
      <c r="O4" s="11">
        <v>3.4</v>
      </c>
    </row>
    <row r="5" spans="2:15" x14ac:dyDescent="0.2">
      <c r="B5" s="10" t="s">
        <v>318</v>
      </c>
      <c r="C5" s="11">
        <v>3</v>
      </c>
      <c r="E5" s="10">
        <v>1707</v>
      </c>
      <c r="F5" s="11">
        <v>10</v>
      </c>
      <c r="N5" s="10"/>
      <c r="O5" s="11"/>
    </row>
    <row r="6" spans="2:15" x14ac:dyDescent="0.2">
      <c r="B6" s="10" t="s">
        <v>318</v>
      </c>
      <c r="C6" s="11">
        <v>3</v>
      </c>
      <c r="E6" s="10" t="s">
        <v>322</v>
      </c>
      <c r="F6" s="11">
        <v>10</v>
      </c>
      <c r="N6" s="10"/>
      <c r="O6" s="11"/>
    </row>
    <row r="7" spans="2:15" x14ac:dyDescent="0.2">
      <c r="B7" s="10" t="s">
        <v>318</v>
      </c>
      <c r="C7" s="11">
        <v>3.3</v>
      </c>
      <c r="E7" s="10"/>
      <c r="F7" s="11"/>
      <c r="N7" s="10"/>
      <c r="O7" s="11"/>
    </row>
    <row r="8" spans="2:15" x14ac:dyDescent="0.2">
      <c r="B8" s="10" t="s">
        <v>77</v>
      </c>
      <c r="C8" s="11">
        <v>4.75</v>
      </c>
      <c r="E8" s="10"/>
      <c r="F8" s="11"/>
      <c r="N8" s="10"/>
      <c r="O8" s="11"/>
    </row>
    <row r="9" spans="2:15" x14ac:dyDescent="0.2">
      <c r="B9" s="10" t="s">
        <v>75</v>
      </c>
      <c r="C9" s="11">
        <v>3</v>
      </c>
      <c r="E9" s="10"/>
      <c r="F9" s="11"/>
      <c r="N9" s="10"/>
      <c r="O9" s="11"/>
    </row>
    <row r="10" spans="2:15" ht="17" thickBot="1" x14ac:dyDescent="0.25">
      <c r="B10" s="12" t="s">
        <v>76</v>
      </c>
      <c r="C10" s="13">
        <v>2.7</v>
      </c>
      <c r="E10" s="12"/>
      <c r="F10" s="13"/>
      <c r="N10" s="12"/>
      <c r="O1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C3E6-4857-9E4C-B0DE-E2C6607D63B3}">
  <dimension ref="A1:L119"/>
  <sheetViews>
    <sheetView topLeftCell="A62" workbookViewId="0">
      <selection activeCell="D82" sqref="D82"/>
    </sheetView>
  </sheetViews>
  <sheetFormatPr baseColWidth="10" defaultRowHeight="16" x14ac:dyDescent="0.2"/>
  <cols>
    <col min="1" max="1" width="19.5" customWidth="1"/>
    <col min="2" max="2" width="6.6640625" bestFit="1" customWidth="1"/>
    <col min="3" max="3" width="14.1640625" bestFit="1" customWidth="1"/>
    <col min="4" max="10" width="12.83203125" bestFit="1" customWidth="1"/>
    <col min="11" max="11" width="8" bestFit="1" customWidth="1"/>
    <col min="12" max="12" width="14.1640625" bestFit="1" customWidth="1"/>
  </cols>
  <sheetData>
    <row r="1" spans="1:12" x14ac:dyDescent="0.2">
      <c r="A1" s="4" t="s">
        <v>5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4" t="s">
        <v>3</v>
      </c>
      <c r="I1" s="4" t="s">
        <v>3</v>
      </c>
      <c r="J1" s="4" t="s">
        <v>3</v>
      </c>
      <c r="K1" s="4" t="s">
        <v>375</v>
      </c>
      <c r="L1" s="5" t="s">
        <v>4</v>
      </c>
    </row>
    <row r="2" spans="1:12" ht="17" customHeight="1" x14ac:dyDescent="0.2">
      <c r="A2" s="1" t="s">
        <v>445</v>
      </c>
      <c r="B2" s="1"/>
      <c r="C2" s="1"/>
      <c r="D2" s="1">
        <v>15</v>
      </c>
      <c r="E2" s="1"/>
      <c r="F2" s="1">
        <v>3.3</v>
      </c>
      <c r="G2" s="1"/>
      <c r="H2" s="1"/>
      <c r="I2" s="1"/>
      <c r="J2" s="1"/>
      <c r="K2" s="1"/>
      <c r="L2" s="7">
        <f t="shared" ref="L2:L9" si="0">+B2*C2+D2+E2+F2+K2+G2+H2+I2+J2</f>
        <v>18.3</v>
      </c>
    </row>
    <row r="3" spans="1:12" x14ac:dyDescent="0.2">
      <c r="A3" s="1" t="s">
        <v>446</v>
      </c>
      <c r="B3" s="1"/>
      <c r="C3" s="1"/>
      <c r="D3" s="1">
        <v>5.4</v>
      </c>
      <c r="E3" s="1">
        <v>14.6</v>
      </c>
      <c r="F3" s="1">
        <v>3.3</v>
      </c>
      <c r="G3" s="1"/>
      <c r="H3" s="1"/>
      <c r="I3" s="1"/>
      <c r="J3" s="1"/>
      <c r="K3" s="1"/>
      <c r="L3" s="7">
        <f t="shared" si="0"/>
        <v>23.3</v>
      </c>
    </row>
    <row r="4" spans="1:12" x14ac:dyDescent="0.2">
      <c r="A4" s="1" t="s">
        <v>447</v>
      </c>
      <c r="B4" s="1"/>
      <c r="C4" s="1"/>
      <c r="D4" s="1">
        <v>14.2</v>
      </c>
      <c r="E4" s="1"/>
      <c r="F4" s="1">
        <v>3.3</v>
      </c>
      <c r="G4" s="1"/>
      <c r="H4" s="1"/>
      <c r="I4" s="1"/>
      <c r="J4" s="1"/>
      <c r="K4" s="1"/>
      <c r="L4" s="7">
        <f t="shared" si="0"/>
        <v>17.5</v>
      </c>
    </row>
    <row r="5" spans="1:12" x14ac:dyDescent="0.2">
      <c r="A5" s="1" t="s">
        <v>448</v>
      </c>
      <c r="B5" s="1"/>
      <c r="C5" s="1"/>
      <c r="D5" s="1">
        <v>10.8</v>
      </c>
      <c r="E5" s="1">
        <v>3.3</v>
      </c>
      <c r="F5" s="1"/>
      <c r="G5" s="1"/>
      <c r="H5" s="1"/>
      <c r="I5" s="1"/>
      <c r="J5" s="1"/>
      <c r="K5" s="1"/>
      <c r="L5" s="7">
        <f t="shared" si="0"/>
        <v>14.100000000000001</v>
      </c>
    </row>
    <row r="6" spans="1:12" x14ac:dyDescent="0.2">
      <c r="A6" s="1" t="s">
        <v>470</v>
      </c>
      <c r="B6" s="1"/>
      <c r="C6" s="1"/>
      <c r="D6" s="1"/>
      <c r="E6" s="1">
        <v>3.3</v>
      </c>
      <c r="F6" s="1"/>
      <c r="G6" s="1"/>
      <c r="H6" s="1"/>
      <c r="I6" s="1"/>
      <c r="J6" s="1"/>
      <c r="K6" s="1"/>
      <c r="L6" s="7">
        <f t="shared" si="0"/>
        <v>3.3</v>
      </c>
    </row>
    <row r="7" spans="1:12" x14ac:dyDescent="0.2">
      <c r="A7" s="1" t="s">
        <v>449</v>
      </c>
      <c r="B7" s="1"/>
      <c r="C7" s="1"/>
      <c r="D7" s="1">
        <v>10</v>
      </c>
      <c r="E7" s="1">
        <v>3.3</v>
      </c>
      <c r="F7" s="1"/>
      <c r="G7" s="1"/>
      <c r="H7" s="1"/>
      <c r="I7" s="1"/>
      <c r="J7" s="1"/>
      <c r="K7" s="1"/>
      <c r="L7" s="7">
        <f t="shared" si="0"/>
        <v>13.3</v>
      </c>
    </row>
    <row r="8" spans="1:12" x14ac:dyDescent="0.2">
      <c r="A8" s="1" t="s">
        <v>450</v>
      </c>
      <c r="B8" s="1"/>
      <c r="C8" s="1"/>
      <c r="D8" s="1">
        <v>13.2</v>
      </c>
      <c r="E8" s="1">
        <v>3.3</v>
      </c>
      <c r="F8" s="1"/>
      <c r="G8" s="1"/>
      <c r="H8" s="1"/>
      <c r="I8" s="1"/>
      <c r="J8" s="1"/>
      <c r="K8" s="1"/>
      <c r="L8" s="7">
        <f t="shared" si="0"/>
        <v>16.5</v>
      </c>
    </row>
    <row r="9" spans="1:12" x14ac:dyDescent="0.2">
      <c r="A9" s="1" t="s">
        <v>451</v>
      </c>
      <c r="B9" s="1"/>
      <c r="C9" s="1"/>
      <c r="D9" s="1"/>
      <c r="E9" s="1">
        <v>3.3</v>
      </c>
      <c r="F9" s="1"/>
      <c r="G9" s="1"/>
      <c r="H9" s="1"/>
      <c r="I9" s="1"/>
      <c r="J9" s="1"/>
      <c r="K9" s="1"/>
      <c r="L9" s="7">
        <f t="shared" si="0"/>
        <v>3.3</v>
      </c>
    </row>
    <row r="10" spans="1:12" x14ac:dyDescent="0.2">
      <c r="A10" s="6" t="s">
        <v>364</v>
      </c>
      <c r="B10" s="7">
        <v>1</v>
      </c>
      <c r="C10" s="7">
        <v>33</v>
      </c>
      <c r="D10" s="7">
        <v>21.2</v>
      </c>
      <c r="E10" s="7">
        <v>4.7</v>
      </c>
      <c r="F10" s="7"/>
      <c r="G10" s="17"/>
      <c r="H10" s="17"/>
      <c r="I10" s="17"/>
      <c r="J10" s="17"/>
      <c r="K10" s="7"/>
      <c r="L10" s="7">
        <f t="shared" ref="L10:L33" si="1">+B10*C10+D10+E10+F10+K10+G10+H10+I10+J10</f>
        <v>58.900000000000006</v>
      </c>
    </row>
    <row r="11" spans="1:12" x14ac:dyDescent="0.2">
      <c r="A11" s="6" t="s">
        <v>365</v>
      </c>
      <c r="B11" s="7">
        <v>1</v>
      </c>
      <c r="C11" s="7">
        <v>37</v>
      </c>
      <c r="D11" s="7">
        <v>24.3</v>
      </c>
      <c r="E11" s="7"/>
      <c r="F11" s="7"/>
      <c r="G11" s="1"/>
      <c r="H11" s="1"/>
      <c r="I11" s="1"/>
      <c r="J11" s="1"/>
      <c r="K11" s="7">
        <v>3.3</v>
      </c>
      <c r="L11" s="7">
        <f t="shared" si="1"/>
        <v>64.599999999999994</v>
      </c>
    </row>
    <row r="12" spans="1:12" x14ac:dyDescent="0.2">
      <c r="A12" s="6" t="s">
        <v>366</v>
      </c>
      <c r="B12" s="7">
        <v>1</v>
      </c>
      <c r="C12" s="7">
        <v>23.4</v>
      </c>
      <c r="D12" s="7">
        <v>18.7</v>
      </c>
      <c r="E12" s="7"/>
      <c r="F12" s="7"/>
      <c r="G12" s="1"/>
      <c r="H12" s="1"/>
      <c r="I12" s="1"/>
      <c r="J12" s="1"/>
      <c r="K12" s="7">
        <v>3.3</v>
      </c>
      <c r="L12" s="7">
        <f t="shared" si="1"/>
        <v>45.399999999999991</v>
      </c>
    </row>
    <row r="13" spans="1:12" x14ac:dyDescent="0.2">
      <c r="A13" s="6" t="s">
        <v>374</v>
      </c>
      <c r="B13" s="7">
        <v>1</v>
      </c>
      <c r="C13" s="7">
        <v>35</v>
      </c>
      <c r="D13" s="7">
        <v>10.6</v>
      </c>
      <c r="E13" s="7"/>
      <c r="F13" s="7"/>
      <c r="G13" s="1"/>
      <c r="H13" s="1"/>
      <c r="I13" s="1"/>
      <c r="J13" s="1"/>
      <c r="K13" s="7">
        <v>3.3</v>
      </c>
      <c r="L13" s="7">
        <f t="shared" si="1"/>
        <v>48.9</v>
      </c>
    </row>
    <row r="14" spans="1:12" x14ac:dyDescent="0.2">
      <c r="A14" s="6" t="s">
        <v>367</v>
      </c>
      <c r="B14" s="7">
        <v>2</v>
      </c>
      <c r="C14" s="7">
        <v>33</v>
      </c>
      <c r="D14" s="7"/>
      <c r="E14" s="7"/>
      <c r="F14" s="7"/>
      <c r="G14" s="1"/>
      <c r="H14" s="1"/>
      <c r="I14" s="1"/>
      <c r="J14" s="1"/>
      <c r="K14" s="7">
        <v>3.3</v>
      </c>
      <c r="L14" s="7">
        <f t="shared" si="1"/>
        <v>69.3</v>
      </c>
    </row>
    <row r="15" spans="1:12" x14ac:dyDescent="0.2">
      <c r="A15" s="6" t="s">
        <v>368</v>
      </c>
      <c r="B15" s="7"/>
      <c r="C15" s="7"/>
      <c r="D15" s="7">
        <v>20</v>
      </c>
      <c r="E15" s="7">
        <v>9.5</v>
      </c>
      <c r="F15" s="7"/>
      <c r="G15" s="1"/>
      <c r="H15" s="1"/>
      <c r="I15" s="1"/>
      <c r="J15" s="1"/>
      <c r="K15" s="7">
        <v>3.1</v>
      </c>
      <c r="L15" s="7">
        <f t="shared" si="1"/>
        <v>32.6</v>
      </c>
    </row>
    <row r="16" spans="1:12" x14ac:dyDescent="0.2">
      <c r="A16" s="6" t="s">
        <v>369</v>
      </c>
      <c r="B16" s="7"/>
      <c r="C16" s="7"/>
      <c r="D16" s="7">
        <v>36.700000000000003</v>
      </c>
      <c r="E16" s="7"/>
      <c r="F16" s="7"/>
      <c r="G16" s="1"/>
      <c r="H16" s="1"/>
      <c r="I16" s="1"/>
      <c r="J16" s="1"/>
      <c r="K16" s="7">
        <v>3.3</v>
      </c>
      <c r="L16" s="7">
        <f t="shared" si="1"/>
        <v>40</v>
      </c>
    </row>
    <row r="17" spans="1:12" x14ac:dyDescent="0.2">
      <c r="A17" s="6" t="s">
        <v>370</v>
      </c>
      <c r="B17" s="7"/>
      <c r="C17" s="7"/>
      <c r="D17" s="7">
        <v>34</v>
      </c>
      <c r="E17" s="7"/>
      <c r="F17" s="7"/>
      <c r="G17" s="1"/>
      <c r="H17" s="1"/>
      <c r="I17" s="1"/>
      <c r="J17" s="1"/>
      <c r="K17" s="7">
        <v>3.3</v>
      </c>
      <c r="L17" s="7">
        <f t="shared" si="1"/>
        <v>37.299999999999997</v>
      </c>
    </row>
    <row r="18" spans="1:12" x14ac:dyDescent="0.2">
      <c r="A18" s="6" t="s">
        <v>318</v>
      </c>
      <c r="B18" s="7">
        <v>1</v>
      </c>
      <c r="C18" s="7">
        <v>28</v>
      </c>
      <c r="D18" s="7">
        <v>8.8000000000000007</v>
      </c>
      <c r="E18" s="7"/>
      <c r="F18" s="7"/>
      <c r="G18" s="1"/>
      <c r="H18" s="1"/>
      <c r="I18" s="1"/>
      <c r="J18" s="1"/>
      <c r="K18" s="7"/>
      <c r="L18" s="7">
        <f t="shared" si="1"/>
        <v>36.799999999999997</v>
      </c>
    </row>
    <row r="19" spans="1:12" x14ac:dyDescent="0.2">
      <c r="A19" s="6" t="s">
        <v>398</v>
      </c>
      <c r="B19" s="7">
        <v>1</v>
      </c>
      <c r="C19" s="7">
        <v>20</v>
      </c>
      <c r="D19" s="7">
        <v>25</v>
      </c>
      <c r="E19" s="7">
        <v>10.199999999999999</v>
      </c>
      <c r="F19" s="7"/>
      <c r="G19" s="1"/>
      <c r="H19" s="1"/>
      <c r="I19" s="1"/>
      <c r="J19" s="1"/>
      <c r="K19" s="7"/>
      <c r="L19" s="7">
        <f t="shared" si="1"/>
        <v>55.2</v>
      </c>
    </row>
    <row r="20" spans="1:12" x14ac:dyDescent="0.2">
      <c r="A20" s="6" t="s">
        <v>399</v>
      </c>
      <c r="B20" s="7"/>
      <c r="C20" s="7"/>
      <c r="D20" s="7">
        <v>34</v>
      </c>
      <c r="E20" s="7"/>
      <c r="F20" s="7"/>
      <c r="G20" s="1"/>
      <c r="H20" s="1"/>
      <c r="I20" s="1"/>
      <c r="J20" s="1"/>
      <c r="K20" s="7">
        <v>3</v>
      </c>
      <c r="L20" s="7">
        <f t="shared" si="1"/>
        <v>37</v>
      </c>
    </row>
    <row r="21" spans="1:12" x14ac:dyDescent="0.2">
      <c r="A21" s="6" t="s">
        <v>400</v>
      </c>
      <c r="B21" s="7"/>
      <c r="C21" s="7"/>
      <c r="D21" s="7">
        <v>20</v>
      </c>
      <c r="E21" s="7"/>
      <c r="F21" s="7"/>
      <c r="G21" s="1"/>
      <c r="H21" s="1"/>
      <c r="I21" s="1"/>
      <c r="J21" s="1"/>
      <c r="K21" s="7">
        <v>3.4</v>
      </c>
      <c r="L21" s="7">
        <f t="shared" si="1"/>
        <v>23.4</v>
      </c>
    </row>
    <row r="22" spans="1:12" x14ac:dyDescent="0.2">
      <c r="A22" s="6" t="s">
        <v>318</v>
      </c>
      <c r="B22" s="7"/>
      <c r="C22" s="7"/>
      <c r="D22" s="7">
        <v>15</v>
      </c>
      <c r="E22" s="7"/>
      <c r="F22" s="7"/>
      <c r="G22" s="1"/>
      <c r="H22" s="1"/>
      <c r="I22" s="1"/>
      <c r="J22" s="1"/>
      <c r="K22" s="7"/>
      <c r="L22" s="7">
        <f t="shared" si="1"/>
        <v>15</v>
      </c>
    </row>
    <row r="23" spans="1:12" x14ac:dyDescent="0.2">
      <c r="A23" s="6" t="s">
        <v>318</v>
      </c>
      <c r="B23" s="7"/>
      <c r="C23" s="7"/>
      <c r="D23" s="7">
        <v>5.4</v>
      </c>
      <c r="E23" s="7">
        <v>14.6</v>
      </c>
      <c r="F23" s="7"/>
      <c r="G23" s="1"/>
      <c r="H23" s="1"/>
      <c r="I23" s="1"/>
      <c r="J23" s="1"/>
      <c r="K23" s="7"/>
      <c r="L23" s="7">
        <f t="shared" si="1"/>
        <v>20</v>
      </c>
    </row>
    <row r="24" spans="1:12" x14ac:dyDescent="0.2">
      <c r="A24" s="6" t="s">
        <v>318</v>
      </c>
      <c r="B24" s="7"/>
      <c r="C24" s="7"/>
      <c r="D24" s="7">
        <v>14.2</v>
      </c>
      <c r="E24" s="7"/>
      <c r="F24" s="7"/>
      <c r="G24" s="1"/>
      <c r="H24" s="1"/>
      <c r="I24" s="1"/>
      <c r="J24" s="1"/>
      <c r="K24" s="7"/>
      <c r="L24" s="7">
        <f t="shared" si="1"/>
        <v>14.2</v>
      </c>
    </row>
    <row r="25" spans="1:12" x14ac:dyDescent="0.2">
      <c r="A25" s="6" t="s">
        <v>318</v>
      </c>
      <c r="B25" s="7"/>
      <c r="C25" s="7"/>
      <c r="D25" s="7">
        <v>24.2</v>
      </c>
      <c r="E25" s="7">
        <v>6.5</v>
      </c>
      <c r="F25" s="7"/>
      <c r="G25" s="1"/>
      <c r="H25" s="1"/>
      <c r="I25" s="1"/>
      <c r="J25" s="1"/>
      <c r="K25" s="7"/>
      <c r="L25" s="7">
        <f t="shared" si="1"/>
        <v>30.7</v>
      </c>
    </row>
    <row r="26" spans="1:12" x14ac:dyDescent="0.2">
      <c r="A26" s="6" t="s">
        <v>318</v>
      </c>
      <c r="B26" s="7"/>
      <c r="C26" s="7"/>
      <c r="D26" s="7">
        <v>21.9</v>
      </c>
      <c r="E26" s="7"/>
      <c r="F26" s="7"/>
      <c r="G26" s="1"/>
      <c r="H26" s="1"/>
      <c r="I26" s="1"/>
      <c r="J26" s="1"/>
      <c r="K26" s="7"/>
      <c r="L26" s="7">
        <f t="shared" si="1"/>
        <v>21.9</v>
      </c>
    </row>
    <row r="27" spans="1:12" x14ac:dyDescent="0.2">
      <c r="A27" s="6" t="s">
        <v>363</v>
      </c>
      <c r="B27" s="7">
        <v>1</v>
      </c>
      <c r="C27" s="7">
        <v>25</v>
      </c>
      <c r="D27" s="7">
        <v>21</v>
      </c>
      <c r="E27" s="7"/>
      <c r="F27" s="7"/>
      <c r="G27" s="1"/>
      <c r="H27" s="1"/>
      <c r="I27" s="1"/>
      <c r="J27" s="1"/>
      <c r="K27" s="7"/>
      <c r="L27" s="7">
        <f t="shared" si="1"/>
        <v>46</v>
      </c>
    </row>
    <row r="28" spans="1:12" x14ac:dyDescent="0.2">
      <c r="A28" s="6" t="s">
        <v>318</v>
      </c>
      <c r="B28" s="7"/>
      <c r="C28" s="7"/>
      <c r="D28" s="7">
        <v>8.1</v>
      </c>
      <c r="E28" s="7"/>
      <c r="F28" s="7"/>
      <c r="G28" s="1"/>
      <c r="H28" s="1"/>
      <c r="I28" s="1"/>
      <c r="J28" s="1"/>
      <c r="K28" s="7"/>
      <c r="L28" s="7">
        <f t="shared" si="1"/>
        <v>8.1</v>
      </c>
    </row>
    <row r="29" spans="1:12" x14ac:dyDescent="0.2">
      <c r="A29" s="6" t="s">
        <v>371</v>
      </c>
      <c r="B29" s="7"/>
      <c r="C29" s="7"/>
      <c r="D29" s="7">
        <v>26</v>
      </c>
      <c r="E29" s="7">
        <v>14.7</v>
      </c>
      <c r="F29" s="7"/>
      <c r="G29" s="1"/>
      <c r="H29" s="1"/>
      <c r="I29" s="1"/>
      <c r="J29" s="1"/>
      <c r="K29" s="7"/>
      <c r="L29" s="7">
        <f t="shared" si="1"/>
        <v>40.700000000000003</v>
      </c>
    </row>
    <row r="30" spans="1:12" x14ac:dyDescent="0.2">
      <c r="A30" s="6" t="s">
        <v>372</v>
      </c>
      <c r="B30" s="7"/>
      <c r="C30" s="7"/>
      <c r="D30" s="7">
        <v>26</v>
      </c>
      <c r="E30" s="7"/>
      <c r="F30" s="7"/>
      <c r="G30" s="1"/>
      <c r="H30" s="1"/>
      <c r="I30" s="1"/>
      <c r="J30" s="1"/>
      <c r="K30" s="7"/>
      <c r="L30" s="7">
        <f t="shared" si="1"/>
        <v>26</v>
      </c>
    </row>
    <row r="31" spans="1:12" x14ac:dyDescent="0.2">
      <c r="A31" s="6" t="s">
        <v>318</v>
      </c>
      <c r="B31" s="7"/>
      <c r="C31" s="7"/>
      <c r="D31" s="7">
        <v>13.7</v>
      </c>
      <c r="E31" s="7">
        <v>8.1999999999999993</v>
      </c>
      <c r="F31" s="7"/>
      <c r="G31" s="1"/>
      <c r="H31" s="1"/>
      <c r="I31" s="1"/>
      <c r="J31" s="1"/>
      <c r="K31" s="7"/>
      <c r="L31" s="7">
        <f t="shared" si="1"/>
        <v>21.9</v>
      </c>
    </row>
    <row r="32" spans="1:12" x14ac:dyDescent="0.2">
      <c r="A32" s="6" t="s">
        <v>318</v>
      </c>
      <c r="B32" s="7"/>
      <c r="C32" s="7"/>
      <c r="D32" s="7">
        <v>4.8</v>
      </c>
      <c r="E32" s="7"/>
      <c r="F32" s="7"/>
      <c r="G32" s="1"/>
      <c r="H32" s="1"/>
      <c r="I32" s="1"/>
      <c r="J32" s="1"/>
      <c r="K32" s="7"/>
      <c r="L32" s="7">
        <f t="shared" si="1"/>
        <v>4.8</v>
      </c>
    </row>
    <row r="33" spans="1:12" x14ac:dyDescent="0.2">
      <c r="A33" s="6" t="s">
        <v>376</v>
      </c>
      <c r="B33" s="7"/>
      <c r="C33" s="7"/>
      <c r="D33" s="7">
        <v>49.6</v>
      </c>
      <c r="E33" s="7"/>
      <c r="F33" s="7"/>
      <c r="G33" s="1"/>
      <c r="H33" s="1"/>
      <c r="I33" s="1"/>
      <c r="J33" s="1"/>
      <c r="K33" s="7">
        <v>3.6</v>
      </c>
      <c r="L33" s="7">
        <f t="shared" si="1"/>
        <v>53.2</v>
      </c>
    </row>
    <row r="34" spans="1:12" x14ac:dyDescent="0.2">
      <c r="A34" s="6" t="s">
        <v>377</v>
      </c>
      <c r="B34" s="7"/>
      <c r="C34" s="7"/>
      <c r="D34" s="7">
        <v>16.5</v>
      </c>
      <c r="E34" s="7"/>
      <c r="F34" s="7"/>
      <c r="G34" s="1"/>
      <c r="H34" s="1"/>
      <c r="I34" s="1"/>
      <c r="J34" s="1"/>
      <c r="K34" s="7">
        <v>3.5</v>
      </c>
      <c r="L34" s="7">
        <f t="shared" ref="L34:L68" si="2">+B34*C34+D34+E34+F34+K34+G34+H34+I34+J34</f>
        <v>20</v>
      </c>
    </row>
    <row r="35" spans="1:12" x14ac:dyDescent="0.2">
      <c r="A35" s="6" t="s">
        <v>322</v>
      </c>
      <c r="B35" s="7"/>
      <c r="C35" s="7"/>
      <c r="D35" s="7">
        <v>26.2</v>
      </c>
      <c r="E35" s="7"/>
      <c r="F35" s="7"/>
      <c r="G35" s="1"/>
      <c r="H35" s="1"/>
      <c r="I35" s="1"/>
      <c r="J35" s="1"/>
      <c r="K35" s="7">
        <v>3.4</v>
      </c>
      <c r="L35" s="7">
        <f>+B35*C35+D35+E35+F35+K35+G35+H35+I35+J35</f>
        <v>29.599999999999998</v>
      </c>
    </row>
    <row r="36" spans="1:12" x14ac:dyDescent="0.2">
      <c r="A36" s="6" t="s">
        <v>378</v>
      </c>
      <c r="B36" s="7"/>
      <c r="C36" s="7"/>
      <c r="D36" s="7">
        <v>45.5</v>
      </c>
      <c r="E36" s="7"/>
      <c r="F36" s="7"/>
      <c r="G36" s="1"/>
      <c r="H36" s="1"/>
      <c r="I36" s="1"/>
      <c r="J36" s="1"/>
      <c r="K36" s="7">
        <v>4.8</v>
      </c>
      <c r="L36" s="7">
        <f>+B36*C36+D36+E36+F36+K36+G36+H36+I36+J36</f>
        <v>50.3</v>
      </c>
    </row>
    <row r="37" spans="1:12" x14ac:dyDescent="0.2">
      <c r="A37" s="6" t="s">
        <v>379</v>
      </c>
      <c r="B37" s="7"/>
      <c r="C37" s="7"/>
      <c r="D37" s="7">
        <v>18.600000000000001</v>
      </c>
      <c r="E37" s="7"/>
      <c r="F37" s="7"/>
      <c r="G37" s="1"/>
      <c r="H37" s="1"/>
      <c r="I37" s="1"/>
      <c r="J37" s="1"/>
      <c r="K37" s="7">
        <v>3.3</v>
      </c>
      <c r="L37" s="7">
        <f t="shared" si="2"/>
        <v>21.900000000000002</v>
      </c>
    </row>
    <row r="38" spans="1:12" x14ac:dyDescent="0.2">
      <c r="A38" s="6" t="s">
        <v>380</v>
      </c>
      <c r="B38" s="7"/>
      <c r="C38" s="7"/>
      <c r="D38" s="7">
        <v>31.2</v>
      </c>
      <c r="E38" s="7"/>
      <c r="F38" s="7"/>
      <c r="G38" s="1"/>
      <c r="H38" s="1"/>
      <c r="I38" s="1"/>
      <c r="J38" s="1"/>
      <c r="K38" s="7">
        <v>3.3</v>
      </c>
      <c r="L38" s="7">
        <f t="shared" si="2"/>
        <v>34.5</v>
      </c>
    </row>
    <row r="39" spans="1:12" x14ac:dyDescent="0.2">
      <c r="A39" s="6" t="s">
        <v>381</v>
      </c>
      <c r="B39" s="7"/>
      <c r="C39" s="7"/>
      <c r="D39" s="7">
        <v>36.5</v>
      </c>
      <c r="E39" s="7"/>
      <c r="F39" s="7"/>
      <c r="G39" s="1"/>
      <c r="H39" s="1"/>
      <c r="I39" s="1"/>
      <c r="J39" s="1"/>
      <c r="K39" s="7">
        <v>3.3</v>
      </c>
      <c r="L39" s="7">
        <f t="shared" si="2"/>
        <v>39.799999999999997</v>
      </c>
    </row>
    <row r="40" spans="1:12" x14ac:dyDescent="0.2">
      <c r="A40" s="6" t="s">
        <v>382</v>
      </c>
      <c r="B40" s="7"/>
      <c r="C40" s="7"/>
      <c r="D40" s="7">
        <v>18.399999999999999</v>
      </c>
      <c r="E40" s="7"/>
      <c r="F40" s="7"/>
      <c r="G40" s="1"/>
      <c r="H40" s="1"/>
      <c r="I40" s="1"/>
      <c r="J40" s="1"/>
      <c r="K40" s="7">
        <v>3.3</v>
      </c>
      <c r="L40" s="7">
        <f t="shared" si="2"/>
        <v>21.7</v>
      </c>
    </row>
    <row r="41" spans="1:12" x14ac:dyDescent="0.2">
      <c r="A41" s="6" t="s">
        <v>389</v>
      </c>
      <c r="B41" s="7"/>
      <c r="C41" s="7"/>
      <c r="D41" s="7">
        <f>45.2-6.5</f>
        <v>38.700000000000003</v>
      </c>
      <c r="E41" s="7">
        <v>8</v>
      </c>
      <c r="F41" s="7"/>
      <c r="G41" s="1"/>
      <c r="H41" s="1"/>
      <c r="I41" s="1"/>
      <c r="J41" s="1"/>
      <c r="K41" s="7">
        <v>3.5</v>
      </c>
      <c r="L41" s="7">
        <f>+B41*C41+D41+E41+F41+K41+G41+H41+I41+J41</f>
        <v>50.2</v>
      </c>
    </row>
    <row r="42" spans="1:12" x14ac:dyDescent="0.2">
      <c r="A42" s="6" t="s">
        <v>390</v>
      </c>
      <c r="B42" s="7"/>
      <c r="C42" s="7"/>
      <c r="D42" s="7">
        <v>45</v>
      </c>
      <c r="E42" s="7"/>
      <c r="F42" s="7"/>
      <c r="G42" s="1"/>
      <c r="H42" s="1"/>
      <c r="I42" s="1"/>
      <c r="J42" s="1"/>
      <c r="K42" s="7">
        <v>3.5</v>
      </c>
      <c r="L42" s="7">
        <f>+B42*C42+D42+E42+F42+K42+G42+H42+I42+J42</f>
        <v>48.5</v>
      </c>
    </row>
    <row r="43" spans="1:12" x14ac:dyDescent="0.2">
      <c r="A43" s="6" t="s">
        <v>383</v>
      </c>
      <c r="B43" s="7"/>
      <c r="C43" s="7"/>
      <c r="D43" s="7">
        <v>3.8</v>
      </c>
      <c r="E43" s="7"/>
      <c r="F43" s="7"/>
      <c r="G43" s="1"/>
      <c r="H43" s="1"/>
      <c r="I43" s="1"/>
      <c r="J43" s="1"/>
      <c r="K43" s="7">
        <v>3.3</v>
      </c>
      <c r="L43" s="7">
        <f t="shared" si="2"/>
        <v>7.1</v>
      </c>
    </row>
    <row r="44" spans="1:12" x14ac:dyDescent="0.2">
      <c r="A44" s="6" t="s">
        <v>384</v>
      </c>
      <c r="B44" s="7"/>
      <c r="C44" s="7"/>
      <c r="D44" s="7">
        <v>11.3</v>
      </c>
      <c r="E44" s="7"/>
      <c r="F44" s="7"/>
      <c r="G44" s="1"/>
      <c r="H44" s="1"/>
      <c r="I44" s="1"/>
      <c r="J44" s="1"/>
      <c r="K44" s="7">
        <v>3.3</v>
      </c>
      <c r="L44" s="7">
        <f t="shared" si="2"/>
        <v>14.600000000000001</v>
      </c>
    </row>
    <row r="45" spans="1:12" x14ac:dyDescent="0.2">
      <c r="A45" s="6" t="s">
        <v>385</v>
      </c>
      <c r="B45" s="7"/>
      <c r="C45" s="7"/>
      <c r="D45" s="7">
        <v>10.4</v>
      </c>
      <c r="E45" s="7"/>
      <c r="F45" s="7"/>
      <c r="G45" s="1"/>
      <c r="H45" s="1"/>
      <c r="I45" s="1"/>
      <c r="J45" s="1"/>
      <c r="K45" s="7">
        <v>3.3</v>
      </c>
      <c r="L45" s="7">
        <f t="shared" si="2"/>
        <v>13.7</v>
      </c>
    </row>
    <row r="46" spans="1:12" x14ac:dyDescent="0.2">
      <c r="A46" s="6" t="s">
        <v>386</v>
      </c>
      <c r="B46" s="7"/>
      <c r="C46" s="7"/>
      <c r="D46" s="7">
        <v>20.3</v>
      </c>
      <c r="E46" s="7"/>
      <c r="F46" s="7"/>
      <c r="G46" s="1"/>
      <c r="H46" s="1"/>
      <c r="I46" s="1"/>
      <c r="J46" s="1"/>
      <c r="K46" s="7">
        <v>3.3</v>
      </c>
      <c r="L46" s="7">
        <f t="shared" si="2"/>
        <v>23.6</v>
      </c>
    </row>
    <row r="47" spans="1:12" x14ac:dyDescent="0.2">
      <c r="A47" s="6" t="s">
        <v>405</v>
      </c>
      <c r="B47" s="7"/>
      <c r="C47" s="7"/>
      <c r="D47" s="7">
        <f>54.7-3.5</f>
        <v>51.2</v>
      </c>
      <c r="E47" s="7"/>
      <c r="F47" s="7"/>
      <c r="G47" s="1"/>
      <c r="H47" s="1"/>
      <c r="I47" s="1"/>
      <c r="J47" s="1"/>
      <c r="K47" s="7">
        <v>3.5</v>
      </c>
      <c r="L47" s="7">
        <f t="shared" si="2"/>
        <v>54.7</v>
      </c>
    </row>
    <row r="48" spans="1:12" x14ac:dyDescent="0.2">
      <c r="A48" s="6" t="s">
        <v>387</v>
      </c>
      <c r="B48" s="7"/>
      <c r="C48" s="7"/>
      <c r="D48" s="7">
        <f>55.5-3.3</f>
        <v>52.2</v>
      </c>
      <c r="E48" s="7"/>
      <c r="F48" s="7"/>
      <c r="G48" s="1"/>
      <c r="H48" s="1"/>
      <c r="I48" s="1"/>
      <c r="J48" s="1"/>
      <c r="K48" s="7">
        <v>3.3</v>
      </c>
      <c r="L48" s="7">
        <f t="shared" si="2"/>
        <v>55.5</v>
      </c>
    </row>
    <row r="49" spans="1:12" x14ac:dyDescent="0.2">
      <c r="A49" s="6" t="s">
        <v>388</v>
      </c>
      <c r="B49" s="7"/>
      <c r="C49" s="7"/>
      <c r="D49" s="7">
        <f>55.2-3.5</f>
        <v>51.7</v>
      </c>
      <c r="E49" s="7"/>
      <c r="F49" s="7"/>
      <c r="G49" s="1"/>
      <c r="H49" s="1"/>
      <c r="I49" s="1"/>
      <c r="J49" s="1"/>
      <c r="K49" s="7">
        <v>3.5</v>
      </c>
      <c r="L49" s="7">
        <f t="shared" si="2"/>
        <v>55.2</v>
      </c>
    </row>
    <row r="50" spans="1:12" x14ac:dyDescent="0.2">
      <c r="A50" s="6" t="s">
        <v>404</v>
      </c>
      <c r="B50" s="7"/>
      <c r="C50" s="7"/>
      <c r="D50" s="7">
        <f>54.2-3.5</f>
        <v>50.7</v>
      </c>
      <c r="E50" s="7"/>
      <c r="F50" s="7"/>
      <c r="G50" s="1"/>
      <c r="H50" s="1"/>
      <c r="I50" s="1"/>
      <c r="J50" s="1"/>
      <c r="K50" s="7">
        <v>3.5</v>
      </c>
      <c r="L50" s="7">
        <f t="shared" si="2"/>
        <v>54.2</v>
      </c>
    </row>
    <row r="51" spans="1:12" x14ac:dyDescent="0.2">
      <c r="A51" s="6" t="s">
        <v>403</v>
      </c>
      <c r="B51" s="7"/>
      <c r="C51" s="7"/>
      <c r="D51" s="7">
        <f>52.4-3.3</f>
        <v>49.1</v>
      </c>
      <c r="E51" s="7"/>
      <c r="F51" s="7"/>
      <c r="G51" s="1"/>
      <c r="H51" s="1"/>
      <c r="I51" s="1"/>
      <c r="J51" s="1"/>
      <c r="K51" s="7">
        <v>3.3</v>
      </c>
      <c r="L51" s="7">
        <f t="shared" si="2"/>
        <v>52.4</v>
      </c>
    </row>
    <row r="52" spans="1:12" x14ac:dyDescent="0.2">
      <c r="A52" s="6" t="s">
        <v>391</v>
      </c>
      <c r="B52" s="7"/>
      <c r="C52" s="7"/>
      <c r="D52" s="7"/>
      <c r="E52" s="7"/>
      <c r="F52" s="7"/>
      <c r="G52" s="1"/>
      <c r="H52" s="1"/>
      <c r="I52" s="1"/>
      <c r="J52" s="1"/>
      <c r="K52" s="7">
        <v>3.5</v>
      </c>
      <c r="L52" s="7">
        <f t="shared" si="2"/>
        <v>3.5</v>
      </c>
    </row>
    <row r="53" spans="1:12" x14ac:dyDescent="0.2">
      <c r="A53" s="6" t="s">
        <v>392</v>
      </c>
      <c r="B53" s="7"/>
      <c r="C53" s="7"/>
      <c r="D53" s="7">
        <v>42.3</v>
      </c>
      <c r="E53" s="7"/>
      <c r="F53" s="7"/>
      <c r="G53" s="1"/>
      <c r="H53" s="1"/>
      <c r="I53" s="1"/>
      <c r="J53" s="1"/>
      <c r="K53" s="7">
        <v>3.5</v>
      </c>
      <c r="L53" s="7">
        <f t="shared" si="2"/>
        <v>45.8</v>
      </c>
    </row>
    <row r="54" spans="1:12" x14ac:dyDescent="0.2">
      <c r="A54" s="6" t="s">
        <v>393</v>
      </c>
      <c r="B54" s="7"/>
      <c r="C54" s="7"/>
      <c r="D54" s="7">
        <f>48.7-3.5</f>
        <v>45.2</v>
      </c>
      <c r="E54" s="7"/>
      <c r="F54" s="7"/>
      <c r="G54" s="1"/>
      <c r="H54" s="1"/>
      <c r="I54" s="1"/>
      <c r="J54" s="1"/>
      <c r="K54" s="7">
        <v>3.5</v>
      </c>
      <c r="L54" s="7">
        <f t="shared" si="2"/>
        <v>48.7</v>
      </c>
    </row>
    <row r="55" spans="1:12" x14ac:dyDescent="0.2">
      <c r="A55" s="6" t="s">
        <v>394</v>
      </c>
      <c r="B55" s="7"/>
      <c r="C55" s="7"/>
      <c r="D55" s="7">
        <f>52.7-3.5</f>
        <v>49.2</v>
      </c>
      <c r="E55" s="7"/>
      <c r="F55" s="7"/>
      <c r="G55" s="1"/>
      <c r="H55" s="1"/>
      <c r="I55" s="1"/>
      <c r="J55" s="1"/>
      <c r="K55" s="7">
        <v>3.5</v>
      </c>
      <c r="L55" s="7">
        <f t="shared" si="2"/>
        <v>52.7</v>
      </c>
    </row>
    <row r="56" spans="1:12" x14ac:dyDescent="0.2">
      <c r="A56" s="6" t="s">
        <v>401</v>
      </c>
      <c r="B56" s="7"/>
      <c r="C56" s="7"/>
      <c r="D56" s="7"/>
      <c r="E56" s="7"/>
      <c r="F56" s="7"/>
      <c r="G56" s="1"/>
      <c r="H56" s="1"/>
      <c r="I56" s="1"/>
      <c r="J56" s="1"/>
      <c r="K56" s="7">
        <v>3.3</v>
      </c>
      <c r="L56" s="7">
        <f t="shared" si="2"/>
        <v>3.3</v>
      </c>
    </row>
    <row r="57" spans="1:12" x14ac:dyDescent="0.2">
      <c r="A57" s="6" t="s">
        <v>402</v>
      </c>
      <c r="B57" s="7"/>
      <c r="C57" s="7"/>
      <c r="D57" s="7"/>
      <c r="E57" s="7"/>
      <c r="F57" s="7"/>
      <c r="G57" s="1"/>
      <c r="H57" s="1"/>
      <c r="I57" s="1"/>
      <c r="J57" s="1"/>
      <c r="K57" s="7">
        <v>3.3</v>
      </c>
      <c r="L57" s="7">
        <f t="shared" si="2"/>
        <v>3.3</v>
      </c>
    </row>
    <row r="58" spans="1:12" x14ac:dyDescent="0.2">
      <c r="A58" s="6" t="s">
        <v>443</v>
      </c>
      <c r="B58" s="7"/>
      <c r="C58" s="7"/>
      <c r="D58" s="7">
        <v>20</v>
      </c>
      <c r="E58" s="7"/>
      <c r="F58" s="7"/>
      <c r="G58" s="1"/>
      <c r="H58" s="1"/>
      <c r="I58" s="1"/>
      <c r="J58" s="1"/>
      <c r="K58" s="7">
        <v>3.3</v>
      </c>
      <c r="L58" s="7">
        <f t="shared" si="2"/>
        <v>23.3</v>
      </c>
    </row>
    <row r="59" spans="1:12" x14ac:dyDescent="0.2">
      <c r="A59" s="6" t="s">
        <v>441</v>
      </c>
      <c r="B59" s="7"/>
      <c r="C59" s="7"/>
      <c r="D59" s="7">
        <v>24</v>
      </c>
      <c r="E59" s="7">
        <v>-6</v>
      </c>
      <c r="F59" s="7"/>
      <c r="G59" s="1"/>
      <c r="H59" s="1"/>
      <c r="I59" s="1"/>
      <c r="J59" s="1"/>
      <c r="K59" s="7">
        <v>3.4</v>
      </c>
      <c r="L59" s="7">
        <f t="shared" si="2"/>
        <v>21.4</v>
      </c>
    </row>
    <row r="60" spans="1:12" x14ac:dyDescent="0.2">
      <c r="A60" s="6" t="s">
        <v>442</v>
      </c>
      <c r="B60" s="7"/>
      <c r="C60" s="7"/>
      <c r="D60" s="7">
        <v>18.5</v>
      </c>
      <c r="E60" s="7"/>
      <c r="F60" s="7"/>
      <c r="G60" s="1"/>
      <c r="H60" s="1"/>
      <c r="I60" s="1"/>
      <c r="J60" s="1"/>
      <c r="K60" s="7">
        <v>3.3</v>
      </c>
      <c r="L60" s="7">
        <f t="shared" si="2"/>
        <v>21.8</v>
      </c>
    </row>
    <row r="61" spans="1:12" x14ac:dyDescent="0.2">
      <c r="A61" s="6" t="s">
        <v>444</v>
      </c>
      <c r="B61" s="7"/>
      <c r="C61" s="7"/>
      <c r="D61" s="7"/>
      <c r="E61" s="7"/>
      <c r="F61" s="7"/>
      <c r="G61" s="1"/>
      <c r="H61" s="1"/>
      <c r="I61" s="1"/>
      <c r="J61" s="1"/>
      <c r="K61" s="7">
        <v>3.3</v>
      </c>
      <c r="L61" s="7">
        <f t="shared" si="2"/>
        <v>3.3</v>
      </c>
    </row>
    <row r="62" spans="1:12" x14ac:dyDescent="0.2">
      <c r="A62" s="6" t="s">
        <v>406</v>
      </c>
      <c r="B62" s="7"/>
      <c r="C62" s="7"/>
      <c r="D62" s="7">
        <f>46.3-3.3</f>
        <v>43</v>
      </c>
      <c r="E62" s="7"/>
      <c r="F62" s="7"/>
      <c r="G62" s="1"/>
      <c r="H62" s="1"/>
      <c r="I62" s="1"/>
      <c r="J62" s="1"/>
      <c r="K62" s="7">
        <v>3.3</v>
      </c>
      <c r="L62" s="7">
        <f t="shared" si="2"/>
        <v>46.3</v>
      </c>
    </row>
    <row r="63" spans="1:12" x14ac:dyDescent="0.2">
      <c r="A63" s="6" t="s">
        <v>407</v>
      </c>
      <c r="B63" s="7"/>
      <c r="C63" s="7"/>
      <c r="D63" s="7">
        <f>42.7-3.3</f>
        <v>39.400000000000006</v>
      </c>
      <c r="E63" s="7"/>
      <c r="F63" s="7"/>
      <c r="G63" s="1"/>
      <c r="H63" s="1"/>
      <c r="I63" s="1"/>
      <c r="J63" s="1"/>
      <c r="K63" s="7">
        <v>3.3</v>
      </c>
      <c r="L63" s="7">
        <f t="shared" si="2"/>
        <v>42.7</v>
      </c>
    </row>
    <row r="64" spans="1:12" x14ac:dyDescent="0.2">
      <c r="A64" s="6" t="s">
        <v>408</v>
      </c>
      <c r="B64" s="7"/>
      <c r="C64" s="7"/>
      <c r="D64" s="7">
        <f>45.5-3.3</f>
        <v>42.2</v>
      </c>
      <c r="E64" s="7"/>
      <c r="F64" s="7"/>
      <c r="G64" s="1"/>
      <c r="H64" s="1"/>
      <c r="I64" s="1"/>
      <c r="J64" s="1"/>
      <c r="K64" s="7">
        <v>3.3</v>
      </c>
      <c r="L64" s="7">
        <f t="shared" si="2"/>
        <v>45.5</v>
      </c>
    </row>
    <row r="65" spans="1:12" x14ac:dyDescent="0.2">
      <c r="A65" s="6" t="s">
        <v>423</v>
      </c>
      <c r="B65" s="7"/>
      <c r="C65" s="7"/>
      <c r="D65" s="7">
        <v>12.8</v>
      </c>
      <c r="E65" s="7"/>
      <c r="F65" s="7"/>
      <c r="G65" s="1"/>
      <c r="H65" s="1"/>
      <c r="I65" s="1"/>
      <c r="J65" s="1"/>
      <c r="K65" s="7"/>
      <c r="L65" s="7">
        <f t="shared" si="2"/>
        <v>12.8</v>
      </c>
    </row>
    <row r="66" spans="1:12" x14ac:dyDescent="0.2">
      <c r="A66" s="6" t="s">
        <v>424</v>
      </c>
      <c r="B66" s="7"/>
      <c r="C66" s="7"/>
      <c r="D66" s="7">
        <v>8.8000000000000007</v>
      </c>
      <c r="E66" s="7"/>
      <c r="F66" s="7"/>
      <c r="G66" s="1"/>
      <c r="H66" s="1"/>
      <c r="I66" s="1"/>
      <c r="J66" s="1"/>
      <c r="K66" s="7"/>
      <c r="L66" s="7">
        <f t="shared" si="2"/>
        <v>8.8000000000000007</v>
      </c>
    </row>
    <row r="67" spans="1:12" x14ac:dyDescent="0.2">
      <c r="A67" s="6" t="s">
        <v>425</v>
      </c>
      <c r="B67" s="7"/>
      <c r="C67" s="7"/>
      <c r="D67" s="7">
        <v>14</v>
      </c>
      <c r="E67" s="7">
        <v>5.0999999999999996</v>
      </c>
      <c r="F67" s="7"/>
      <c r="G67" s="1"/>
      <c r="H67" s="1"/>
      <c r="I67" s="1"/>
      <c r="J67" s="1"/>
      <c r="K67" s="7"/>
      <c r="L67" s="7">
        <f t="shared" si="2"/>
        <v>19.100000000000001</v>
      </c>
    </row>
    <row r="68" spans="1:12" x14ac:dyDescent="0.2">
      <c r="A68" s="6" t="s">
        <v>426</v>
      </c>
      <c r="B68" s="7"/>
      <c r="C68" s="7"/>
      <c r="D68" s="7">
        <v>26</v>
      </c>
      <c r="E68" s="7">
        <v>14.7</v>
      </c>
      <c r="F68" s="7"/>
      <c r="G68" s="1"/>
      <c r="H68" s="1"/>
      <c r="I68" s="1"/>
      <c r="J68" s="1"/>
      <c r="K68" s="7"/>
      <c r="L68" s="7">
        <f t="shared" si="2"/>
        <v>40.700000000000003</v>
      </c>
    </row>
    <row r="69" spans="1:12" x14ac:dyDescent="0.2">
      <c r="A69" s="6" t="s">
        <v>427</v>
      </c>
      <c r="B69" s="7"/>
      <c r="C69" s="7"/>
      <c r="D69" s="7">
        <v>16.600000000000001</v>
      </c>
      <c r="E69" s="7"/>
      <c r="F69" s="7"/>
      <c r="G69" s="1"/>
      <c r="H69" s="1"/>
      <c r="I69" s="1"/>
      <c r="J69" s="1"/>
      <c r="K69" s="7"/>
      <c r="L69" s="7">
        <f t="shared" ref="L69:L90" si="3">+B69*C69+D69+E69+F69+K69+G69+H69+I69+J69</f>
        <v>16.600000000000001</v>
      </c>
    </row>
    <row r="70" spans="1:12" x14ac:dyDescent="0.2">
      <c r="A70" s="6" t="s">
        <v>428</v>
      </c>
      <c r="B70" s="7"/>
      <c r="C70" s="7"/>
      <c r="D70" s="7">
        <v>4.8</v>
      </c>
      <c r="E70" s="7"/>
      <c r="F70" s="7"/>
      <c r="G70" s="1"/>
      <c r="H70" s="1"/>
      <c r="I70" s="1"/>
      <c r="J70" s="1"/>
      <c r="K70" s="7"/>
      <c r="L70" s="7">
        <f t="shared" si="3"/>
        <v>4.8</v>
      </c>
    </row>
    <row r="71" spans="1:12" x14ac:dyDescent="0.2">
      <c r="A71" s="6" t="s">
        <v>429</v>
      </c>
      <c r="B71" s="7"/>
      <c r="C71" s="7"/>
      <c r="D71" s="7">
        <v>13.7</v>
      </c>
      <c r="E71" s="7">
        <v>8.1999999999999993</v>
      </c>
      <c r="F71" s="7"/>
      <c r="G71" s="1"/>
      <c r="H71" s="1"/>
      <c r="I71" s="1"/>
      <c r="J71" s="1"/>
      <c r="K71" s="7"/>
      <c r="L71" s="7">
        <f t="shared" si="3"/>
        <v>21.9</v>
      </c>
    </row>
    <row r="72" spans="1:12" x14ac:dyDescent="0.2">
      <c r="A72" s="6" t="s">
        <v>414</v>
      </c>
      <c r="B72" s="7"/>
      <c r="C72" s="7"/>
      <c r="D72" s="7">
        <v>23.9</v>
      </c>
      <c r="E72" s="7"/>
      <c r="F72" s="7"/>
      <c r="G72" s="1"/>
      <c r="H72" s="1"/>
      <c r="I72" s="1"/>
      <c r="J72" s="1"/>
      <c r="K72" s="7"/>
      <c r="L72" s="7">
        <f t="shared" si="3"/>
        <v>23.9</v>
      </c>
    </row>
    <row r="73" spans="1:12" x14ac:dyDescent="0.2">
      <c r="A73" s="6" t="s">
        <v>415</v>
      </c>
      <c r="B73" s="7"/>
      <c r="C73" s="7"/>
      <c r="D73" s="7">
        <v>22.6</v>
      </c>
      <c r="E73" s="7"/>
      <c r="F73" s="7"/>
      <c r="G73" s="1"/>
      <c r="H73" s="1"/>
      <c r="I73" s="1"/>
      <c r="J73" s="1"/>
      <c r="K73" s="7"/>
      <c r="L73" s="7">
        <f t="shared" si="3"/>
        <v>22.6</v>
      </c>
    </row>
    <row r="74" spans="1:12" x14ac:dyDescent="0.2">
      <c r="A74" s="6" t="s">
        <v>416</v>
      </c>
      <c r="B74" s="7"/>
      <c r="C74" s="7"/>
      <c r="D74" s="7">
        <v>7.6</v>
      </c>
      <c r="E74" s="7">
        <v>2.6</v>
      </c>
      <c r="F74" s="7">
        <v>12.2</v>
      </c>
      <c r="G74" s="1">
        <v>7.3</v>
      </c>
      <c r="H74" s="1">
        <v>2.6</v>
      </c>
      <c r="I74" s="1"/>
      <c r="J74" s="1"/>
      <c r="K74" s="7"/>
      <c r="L74" s="7">
        <f t="shared" si="3"/>
        <v>32.299999999999997</v>
      </c>
    </row>
    <row r="75" spans="1:12" x14ac:dyDescent="0.2">
      <c r="A75" s="6" t="s">
        <v>417</v>
      </c>
      <c r="B75" s="7"/>
      <c r="C75" s="7"/>
      <c r="D75" s="7">
        <v>3.2</v>
      </c>
      <c r="E75" s="7"/>
      <c r="F75" s="7"/>
      <c r="G75" s="1"/>
      <c r="H75" s="7">
        <v>3.3</v>
      </c>
      <c r="I75" s="1"/>
      <c r="J75" s="1"/>
      <c r="K75" s="7"/>
      <c r="L75" s="7">
        <f>+B75*C75+D75+E75+F75+K75+G75+H75+I75+J75</f>
        <v>6.5</v>
      </c>
    </row>
    <row r="76" spans="1:12" x14ac:dyDescent="0.2">
      <c r="A76" s="6" t="s">
        <v>430</v>
      </c>
      <c r="B76" s="7"/>
      <c r="C76" s="7"/>
      <c r="D76" s="7">
        <v>47</v>
      </c>
      <c r="E76" s="7"/>
      <c r="F76" s="7"/>
      <c r="G76" s="1"/>
      <c r="H76" s="1">
        <v>3.3</v>
      </c>
      <c r="I76" s="1"/>
      <c r="J76" s="1"/>
      <c r="K76" s="7"/>
      <c r="L76" s="7">
        <f t="shared" si="3"/>
        <v>50.3</v>
      </c>
    </row>
    <row r="77" spans="1:12" x14ac:dyDescent="0.2">
      <c r="A77" s="6" t="s">
        <v>431</v>
      </c>
      <c r="B77" s="7"/>
      <c r="C77" s="7"/>
      <c r="D77" s="7">
        <v>39</v>
      </c>
      <c r="E77" s="7">
        <v>-6.5</v>
      </c>
      <c r="F77" s="7"/>
      <c r="G77" s="1"/>
      <c r="H77" s="1">
        <v>3.3</v>
      </c>
      <c r="I77" s="1"/>
      <c r="J77" s="1"/>
      <c r="K77" s="7"/>
      <c r="L77" s="7">
        <f t="shared" si="3"/>
        <v>35.799999999999997</v>
      </c>
    </row>
    <row r="78" spans="1:12" x14ac:dyDescent="0.2">
      <c r="A78" s="6" t="s">
        <v>432</v>
      </c>
      <c r="B78" s="7"/>
      <c r="C78" s="7"/>
      <c r="D78" s="7">
        <v>38</v>
      </c>
      <c r="E78" s="7"/>
      <c r="F78" s="7"/>
      <c r="G78" s="1"/>
      <c r="H78" s="1">
        <v>3.3</v>
      </c>
      <c r="I78" s="1"/>
      <c r="J78" s="1"/>
      <c r="K78" s="7"/>
      <c r="L78" s="7">
        <f t="shared" si="3"/>
        <v>41.3</v>
      </c>
    </row>
    <row r="79" spans="1:12" x14ac:dyDescent="0.2">
      <c r="A79" s="6" t="s">
        <v>433</v>
      </c>
      <c r="B79" s="7"/>
      <c r="C79" s="7"/>
      <c r="D79" s="7">
        <v>48</v>
      </c>
      <c r="E79" s="7"/>
      <c r="F79" s="7"/>
      <c r="G79" s="1"/>
      <c r="H79" s="1">
        <v>3.3</v>
      </c>
      <c r="I79" s="1"/>
      <c r="J79" s="1"/>
      <c r="K79" s="7"/>
      <c r="L79" s="7">
        <f t="shared" si="3"/>
        <v>51.3</v>
      </c>
    </row>
    <row r="80" spans="1:12" x14ac:dyDescent="0.2">
      <c r="A80" s="6" t="s">
        <v>472</v>
      </c>
      <c r="B80" s="7"/>
      <c r="C80" s="7"/>
      <c r="D80" s="7">
        <v>8.8000000000000007</v>
      </c>
      <c r="E80" s="7"/>
      <c r="F80" s="7"/>
      <c r="G80" s="1"/>
      <c r="H80" s="1">
        <v>3.3</v>
      </c>
      <c r="I80" s="1"/>
      <c r="J80" s="1"/>
      <c r="K80" s="7"/>
      <c r="L80" s="7">
        <f t="shared" si="3"/>
        <v>12.100000000000001</v>
      </c>
    </row>
    <row r="81" spans="1:12" x14ac:dyDescent="0.2">
      <c r="A81" s="6" t="s">
        <v>434</v>
      </c>
      <c r="B81" s="7"/>
      <c r="C81" s="7"/>
      <c r="D81" s="7">
        <f>35-3.3</f>
        <v>31.7</v>
      </c>
      <c r="E81" s="7">
        <v>3.3</v>
      </c>
      <c r="F81" s="7"/>
      <c r="G81" s="1"/>
      <c r="H81" s="16">
        <v>3.3</v>
      </c>
      <c r="I81" s="1"/>
      <c r="J81" s="1"/>
      <c r="K81" s="7"/>
      <c r="L81" s="7">
        <f t="shared" si="3"/>
        <v>38.299999999999997</v>
      </c>
    </row>
    <row r="82" spans="1:12" x14ac:dyDescent="0.2">
      <c r="A82" s="6" t="s">
        <v>435</v>
      </c>
      <c r="B82" s="7"/>
      <c r="C82" s="7"/>
      <c r="D82" s="7">
        <v>7.8</v>
      </c>
      <c r="E82" s="7">
        <v>3</v>
      </c>
      <c r="F82" s="7">
        <v>4.8</v>
      </c>
      <c r="G82" s="1">
        <v>3.3</v>
      </c>
      <c r="H82" s="16">
        <v>3.3</v>
      </c>
      <c r="I82" s="1"/>
      <c r="J82" s="1"/>
      <c r="K82" s="7"/>
      <c r="L82" s="7">
        <f t="shared" si="3"/>
        <v>22.200000000000003</v>
      </c>
    </row>
    <row r="83" spans="1:12" x14ac:dyDescent="0.2">
      <c r="A83" s="6" t="s">
        <v>437</v>
      </c>
      <c r="B83" s="7"/>
      <c r="C83" s="7"/>
      <c r="D83" s="7">
        <v>28</v>
      </c>
      <c r="E83" s="7">
        <v>7.7</v>
      </c>
      <c r="F83" s="7">
        <f>13.9-6</f>
        <v>7.9</v>
      </c>
      <c r="G83" s="1">
        <f>12.1-3.2</f>
        <v>8.8999999999999986</v>
      </c>
      <c r="H83" s="1">
        <v>8</v>
      </c>
      <c r="I83" s="1">
        <v>7.5</v>
      </c>
      <c r="J83" s="1">
        <v>2.9</v>
      </c>
      <c r="K83" s="7">
        <v>3.3</v>
      </c>
      <c r="L83" s="7">
        <f t="shared" si="3"/>
        <v>74.2</v>
      </c>
    </row>
    <row r="84" spans="1:12" x14ac:dyDescent="0.2">
      <c r="A84" s="6" t="s">
        <v>436</v>
      </c>
      <c r="B84" s="7"/>
      <c r="C84" s="7"/>
      <c r="D84" s="7">
        <v>30</v>
      </c>
      <c r="E84" s="7">
        <v>30</v>
      </c>
      <c r="F84" s="7">
        <f>8.8-3</f>
        <v>5.8000000000000007</v>
      </c>
      <c r="G84" s="1">
        <v>7.4</v>
      </c>
      <c r="H84" s="1"/>
      <c r="I84" s="1"/>
      <c r="J84" s="1"/>
      <c r="K84" s="7"/>
      <c r="L84" s="7">
        <f t="shared" si="3"/>
        <v>73.2</v>
      </c>
    </row>
    <row r="85" spans="1:12" x14ac:dyDescent="0.2">
      <c r="A85" s="6" t="s">
        <v>438</v>
      </c>
      <c r="B85" s="7"/>
      <c r="C85" s="7"/>
      <c r="D85" s="7">
        <v>6</v>
      </c>
      <c r="E85" s="7"/>
      <c r="F85" s="7"/>
      <c r="G85" s="1"/>
      <c r="H85" s="1"/>
      <c r="I85" s="1"/>
      <c r="J85" s="1"/>
      <c r="K85" s="7"/>
      <c r="L85" s="7">
        <f t="shared" si="3"/>
        <v>6</v>
      </c>
    </row>
    <row r="86" spans="1:12" x14ac:dyDescent="0.2">
      <c r="A86" s="6" t="s">
        <v>439</v>
      </c>
      <c r="B86" s="7"/>
      <c r="C86" s="7"/>
      <c r="D86" s="7">
        <v>3.5</v>
      </c>
      <c r="E86" s="7">
        <v>3</v>
      </c>
      <c r="F86" s="7"/>
      <c r="G86" s="1"/>
      <c r="H86" s="1"/>
      <c r="I86" s="1"/>
      <c r="J86" s="1"/>
      <c r="K86" s="7"/>
      <c r="L86" s="7">
        <f t="shared" si="3"/>
        <v>6.5</v>
      </c>
    </row>
    <row r="87" spans="1:12" x14ac:dyDescent="0.2">
      <c r="A87" s="6" t="s">
        <v>440</v>
      </c>
      <c r="B87" s="7"/>
      <c r="C87" s="7"/>
      <c r="D87" s="7">
        <v>19.2</v>
      </c>
      <c r="E87" s="7">
        <v>24.6</v>
      </c>
      <c r="F87" s="7">
        <v>26.4</v>
      </c>
      <c r="G87" s="1">
        <v>10.5</v>
      </c>
      <c r="H87" s="1">
        <v>4.5</v>
      </c>
      <c r="I87" s="1"/>
      <c r="J87" s="1"/>
      <c r="K87" s="7"/>
      <c r="L87" s="7">
        <f t="shared" si="3"/>
        <v>85.199999999999989</v>
      </c>
    </row>
    <row r="88" spans="1:12" x14ac:dyDescent="0.2">
      <c r="A88" s="6">
        <v>2382</v>
      </c>
      <c r="B88" s="7"/>
      <c r="C88" s="7"/>
      <c r="D88" s="7">
        <v>10.199999999999999</v>
      </c>
      <c r="E88" s="7"/>
      <c r="F88" s="7"/>
      <c r="G88" s="1"/>
      <c r="H88" s="1"/>
      <c r="I88" s="1"/>
      <c r="J88" s="1"/>
      <c r="K88" s="7">
        <v>3.3</v>
      </c>
      <c r="L88" s="7">
        <f t="shared" si="3"/>
        <v>13.5</v>
      </c>
    </row>
    <row r="89" spans="1:12" x14ac:dyDescent="0.2">
      <c r="A89" s="6">
        <v>2392</v>
      </c>
      <c r="B89" s="7"/>
      <c r="C89" s="7"/>
      <c r="D89" s="7">
        <v>25</v>
      </c>
      <c r="E89" s="7">
        <v>13</v>
      </c>
      <c r="F89" s="7"/>
      <c r="G89" s="1"/>
      <c r="H89" s="1"/>
      <c r="I89" s="1"/>
      <c r="J89" s="1"/>
      <c r="K89" s="7">
        <v>3.3</v>
      </c>
      <c r="L89" s="7">
        <f t="shared" si="3"/>
        <v>41.3</v>
      </c>
    </row>
    <row r="90" spans="1:12" x14ac:dyDescent="0.2">
      <c r="A90" s="6">
        <v>2381</v>
      </c>
      <c r="B90" s="7"/>
      <c r="C90" s="7"/>
      <c r="D90" s="7">
        <v>4.5</v>
      </c>
      <c r="E90" s="7">
        <v>4.5999999999999996</v>
      </c>
      <c r="F90" s="7">
        <v>6.4</v>
      </c>
      <c r="G90" s="1"/>
      <c r="H90" s="1"/>
      <c r="I90" s="1"/>
      <c r="J90" s="1"/>
      <c r="K90" s="7">
        <v>3.3</v>
      </c>
      <c r="L90" s="7">
        <f t="shared" si="3"/>
        <v>18.8</v>
      </c>
    </row>
    <row r="91" spans="1:12" x14ac:dyDescent="0.2">
      <c r="A91" s="6" t="s">
        <v>452</v>
      </c>
      <c r="B91" s="7"/>
      <c r="C91" s="7"/>
      <c r="D91" s="7">
        <v>24.5</v>
      </c>
      <c r="E91" s="7">
        <v>3.3</v>
      </c>
      <c r="F91" s="7"/>
      <c r="G91" s="1"/>
      <c r="H91" s="1"/>
      <c r="I91" s="1"/>
      <c r="J91" s="1"/>
      <c r="K91" s="7"/>
      <c r="L91" s="7">
        <f t="shared" ref="L91:L93" si="4">+B91*C91+D91+E91+F91+K91+G91+H91+I91+J91</f>
        <v>27.8</v>
      </c>
    </row>
    <row r="92" spans="1:12" x14ac:dyDescent="0.2">
      <c r="A92" s="6" t="s">
        <v>453</v>
      </c>
      <c r="B92" s="7"/>
      <c r="C92" s="7"/>
      <c r="D92" s="7">
        <v>22</v>
      </c>
      <c r="E92" s="16">
        <v>3.3</v>
      </c>
      <c r="F92" s="16"/>
      <c r="G92" s="1"/>
      <c r="H92" s="1"/>
      <c r="I92" s="1"/>
      <c r="J92" s="1"/>
      <c r="K92" s="7"/>
      <c r="L92" s="7">
        <f t="shared" si="4"/>
        <v>25.3</v>
      </c>
    </row>
    <row r="93" spans="1:12" x14ac:dyDescent="0.2">
      <c r="A93" s="6" t="s">
        <v>454</v>
      </c>
      <c r="B93" s="7"/>
      <c r="C93" s="7"/>
      <c r="D93" s="7">
        <v>10.3</v>
      </c>
      <c r="E93" s="16">
        <f>31-9.7</f>
        <v>21.3</v>
      </c>
      <c r="F93" s="16">
        <v>3.3</v>
      </c>
      <c r="G93" s="1"/>
      <c r="H93" s="1"/>
      <c r="I93" s="1"/>
      <c r="J93" s="1"/>
      <c r="K93" s="7"/>
      <c r="L93" s="7">
        <f t="shared" si="4"/>
        <v>34.9</v>
      </c>
    </row>
    <row r="94" spans="1:12" x14ac:dyDescent="0.2">
      <c r="A94" s="6" t="s">
        <v>455</v>
      </c>
      <c r="B94" s="7"/>
      <c r="C94" s="7"/>
      <c r="D94" s="7"/>
      <c r="E94" s="7"/>
      <c r="F94" s="7"/>
      <c r="G94" s="1"/>
      <c r="H94" s="1"/>
      <c r="I94" s="1"/>
      <c r="J94" s="1"/>
      <c r="K94" s="7"/>
      <c r="L94" s="7">
        <f t="shared" ref="L94:L119" si="5">+B94*C94+D94+E94+F94+K94+G94+H94+I94+J94</f>
        <v>0</v>
      </c>
    </row>
    <row r="95" spans="1:12" x14ac:dyDescent="0.2">
      <c r="A95" s="6" t="s">
        <v>456</v>
      </c>
      <c r="B95" s="7"/>
      <c r="C95" s="7"/>
      <c r="D95" s="7">
        <v>14</v>
      </c>
      <c r="E95" s="16"/>
      <c r="F95" s="16">
        <v>3</v>
      </c>
      <c r="G95" s="1"/>
      <c r="H95" s="1"/>
      <c r="I95" s="1"/>
      <c r="J95" s="1"/>
      <c r="K95" s="7"/>
      <c r="L95" s="7">
        <f t="shared" si="5"/>
        <v>17</v>
      </c>
    </row>
    <row r="96" spans="1:12" x14ac:dyDescent="0.2">
      <c r="A96" s="6" t="s">
        <v>457</v>
      </c>
      <c r="B96" s="7"/>
      <c r="C96" s="7"/>
      <c r="D96" s="7">
        <v>23.4</v>
      </c>
      <c r="E96" s="16">
        <v>25.7</v>
      </c>
      <c r="F96" s="16">
        <v>3</v>
      </c>
      <c r="G96" s="1"/>
      <c r="H96" s="1"/>
      <c r="I96" s="1"/>
      <c r="J96" s="1"/>
      <c r="K96" s="7"/>
      <c r="L96" s="7">
        <f t="shared" si="5"/>
        <v>52.099999999999994</v>
      </c>
    </row>
    <row r="97" spans="1:12" x14ac:dyDescent="0.2">
      <c r="A97" s="6" t="s">
        <v>458</v>
      </c>
      <c r="B97" s="7"/>
      <c r="C97" s="7"/>
      <c r="D97" s="7">
        <v>22.4</v>
      </c>
      <c r="E97" s="7"/>
      <c r="F97" s="7">
        <v>3</v>
      </c>
      <c r="G97" s="1"/>
      <c r="H97" s="1"/>
      <c r="I97" s="1"/>
      <c r="J97" s="1"/>
      <c r="K97" s="7"/>
      <c r="L97" s="7">
        <f t="shared" si="5"/>
        <v>25.4</v>
      </c>
    </row>
    <row r="98" spans="1:12" x14ac:dyDescent="0.2">
      <c r="A98" s="6" t="s">
        <v>459</v>
      </c>
      <c r="B98" s="7"/>
      <c r="C98" s="7"/>
      <c r="D98" s="7">
        <v>27.5</v>
      </c>
      <c r="E98" s="16">
        <v>7</v>
      </c>
      <c r="F98" s="16">
        <v>3</v>
      </c>
      <c r="G98" s="1"/>
      <c r="H98" s="1"/>
      <c r="I98" s="1"/>
      <c r="J98" s="1"/>
      <c r="K98" s="7"/>
      <c r="L98" s="7">
        <f t="shared" si="5"/>
        <v>37.5</v>
      </c>
    </row>
    <row r="99" spans="1:12" x14ac:dyDescent="0.2">
      <c r="A99" s="6" t="s">
        <v>460</v>
      </c>
      <c r="B99" s="7"/>
      <c r="C99" s="7"/>
      <c r="D99" s="7">
        <v>9</v>
      </c>
      <c r="E99" s="16">
        <v>3</v>
      </c>
      <c r="F99" s="16"/>
      <c r="G99" s="1"/>
      <c r="H99" s="1"/>
      <c r="I99" s="1"/>
      <c r="J99" s="1"/>
      <c r="K99" s="7"/>
      <c r="L99" s="7">
        <f t="shared" si="5"/>
        <v>12</v>
      </c>
    </row>
    <row r="100" spans="1:12" x14ac:dyDescent="0.2">
      <c r="A100" s="6" t="s">
        <v>462</v>
      </c>
      <c r="B100" s="7"/>
      <c r="C100" s="7"/>
      <c r="D100" s="7"/>
      <c r="E100" s="7">
        <v>3</v>
      </c>
      <c r="F100" s="7"/>
      <c r="G100" s="1"/>
      <c r="H100" s="1"/>
      <c r="I100" s="1"/>
      <c r="J100" s="1"/>
      <c r="K100" s="7"/>
      <c r="L100" s="7">
        <f t="shared" si="5"/>
        <v>3</v>
      </c>
    </row>
    <row r="101" spans="1:12" x14ac:dyDescent="0.2">
      <c r="A101" s="6" t="s">
        <v>461</v>
      </c>
      <c r="B101" s="7"/>
      <c r="C101" s="7"/>
      <c r="D101" s="7">
        <v>12</v>
      </c>
      <c r="E101" s="16">
        <v>3</v>
      </c>
      <c r="F101" s="16"/>
      <c r="G101" s="1"/>
      <c r="H101" s="1"/>
      <c r="I101" s="1"/>
      <c r="J101" s="1"/>
      <c r="K101" s="7"/>
      <c r="L101" s="7">
        <f t="shared" si="5"/>
        <v>15</v>
      </c>
    </row>
    <row r="102" spans="1:12" x14ac:dyDescent="0.2">
      <c r="A102" s="6" t="s">
        <v>463</v>
      </c>
      <c r="B102" s="7"/>
      <c r="C102" s="7"/>
      <c r="D102" s="7">
        <v>21</v>
      </c>
      <c r="E102" s="16">
        <v>3</v>
      </c>
      <c r="F102" s="16">
        <v>39</v>
      </c>
      <c r="G102" s="1"/>
      <c r="H102" s="1"/>
      <c r="I102" s="1"/>
      <c r="J102" s="1"/>
      <c r="K102" s="7"/>
      <c r="L102" s="7">
        <f t="shared" si="5"/>
        <v>63</v>
      </c>
    </row>
    <row r="103" spans="1:12" x14ac:dyDescent="0.2">
      <c r="A103" s="6" t="s">
        <v>464</v>
      </c>
      <c r="B103" s="7"/>
      <c r="C103" s="7"/>
      <c r="D103" s="7">
        <v>39</v>
      </c>
      <c r="E103" s="7"/>
      <c r="F103" s="7"/>
      <c r="G103" s="1"/>
      <c r="H103" s="1"/>
      <c r="I103" s="1"/>
      <c r="J103" s="1"/>
      <c r="K103" s="7"/>
      <c r="L103" s="7">
        <f t="shared" si="5"/>
        <v>39</v>
      </c>
    </row>
    <row r="104" spans="1:12" x14ac:dyDescent="0.2">
      <c r="A104" s="6" t="s">
        <v>465</v>
      </c>
      <c r="B104" s="7"/>
      <c r="C104" s="7"/>
      <c r="D104" s="7">
        <v>3</v>
      </c>
      <c r="E104" s="16">
        <v>6</v>
      </c>
      <c r="F104" s="16"/>
      <c r="G104" s="1"/>
      <c r="H104" s="1"/>
      <c r="I104" s="1"/>
      <c r="J104" s="1"/>
      <c r="K104" s="7"/>
      <c r="L104" s="7">
        <f t="shared" si="5"/>
        <v>9</v>
      </c>
    </row>
    <row r="105" spans="1:12" x14ac:dyDescent="0.2">
      <c r="A105" s="6" t="s">
        <v>466</v>
      </c>
      <c r="B105" s="7"/>
      <c r="C105" s="7"/>
      <c r="D105" s="7">
        <v>27</v>
      </c>
      <c r="E105" s="16"/>
      <c r="F105" s="16"/>
      <c r="G105" s="1"/>
      <c r="H105" s="1"/>
      <c r="I105" s="1"/>
      <c r="J105" s="1"/>
      <c r="K105" s="7"/>
      <c r="L105" s="7">
        <f t="shared" si="5"/>
        <v>27</v>
      </c>
    </row>
    <row r="106" spans="1:12" x14ac:dyDescent="0.2">
      <c r="A106" s="6" t="s">
        <v>467</v>
      </c>
      <c r="B106" s="7"/>
      <c r="C106" s="7"/>
      <c r="D106" s="7">
        <v>15</v>
      </c>
      <c r="E106" s="7"/>
      <c r="F106" s="7"/>
      <c r="G106" s="1"/>
      <c r="H106" s="1"/>
      <c r="I106" s="1"/>
      <c r="J106" s="1"/>
      <c r="K106" s="7"/>
      <c r="L106" s="7">
        <f t="shared" si="5"/>
        <v>15</v>
      </c>
    </row>
    <row r="107" spans="1:12" x14ac:dyDescent="0.2">
      <c r="A107" s="6" t="s">
        <v>468</v>
      </c>
      <c r="B107" s="7"/>
      <c r="C107" s="7"/>
      <c r="D107" s="7">
        <v>30</v>
      </c>
      <c r="E107" s="16"/>
      <c r="F107" s="16"/>
      <c r="G107" s="1"/>
      <c r="H107" s="1"/>
      <c r="I107" s="1"/>
      <c r="J107" s="1"/>
      <c r="K107" s="7"/>
      <c r="L107" s="7">
        <f t="shared" si="5"/>
        <v>30</v>
      </c>
    </row>
    <row r="108" spans="1:12" x14ac:dyDescent="0.2">
      <c r="A108" s="6" t="s">
        <v>469</v>
      </c>
      <c r="B108" s="7"/>
      <c r="C108" s="7"/>
      <c r="D108" s="7">
        <v>10.5</v>
      </c>
      <c r="E108" s="16"/>
      <c r="F108" s="16"/>
      <c r="G108" s="1"/>
      <c r="H108" s="1"/>
      <c r="I108" s="1"/>
      <c r="J108" s="1"/>
      <c r="K108" s="7"/>
      <c r="L108" s="7">
        <f t="shared" si="5"/>
        <v>10.5</v>
      </c>
    </row>
    <row r="109" spans="1:12" x14ac:dyDescent="0.2">
      <c r="A109" s="6" t="s">
        <v>409</v>
      </c>
      <c r="B109" s="7"/>
      <c r="C109" s="7"/>
      <c r="D109" s="7">
        <v>22</v>
      </c>
      <c r="E109" s="7"/>
      <c r="F109" s="7"/>
      <c r="G109" s="7"/>
      <c r="H109" s="7">
        <v>3</v>
      </c>
      <c r="I109" s="7"/>
      <c r="J109" s="1"/>
      <c r="K109" s="7"/>
      <c r="L109" s="7">
        <f t="shared" si="5"/>
        <v>25</v>
      </c>
    </row>
    <row r="110" spans="1:12" x14ac:dyDescent="0.2">
      <c r="A110" s="6" t="s">
        <v>410</v>
      </c>
      <c r="B110" s="7"/>
      <c r="C110" s="7"/>
      <c r="D110" s="7">
        <v>5.5</v>
      </c>
      <c r="E110" s="7">
        <v>16</v>
      </c>
      <c r="F110" s="7"/>
      <c r="G110" s="7"/>
      <c r="H110" s="7">
        <v>3</v>
      </c>
      <c r="I110" s="16"/>
      <c r="J110" s="1"/>
      <c r="K110" s="16"/>
      <c r="L110" s="7">
        <f t="shared" si="5"/>
        <v>24.5</v>
      </c>
    </row>
    <row r="111" spans="1:12" x14ac:dyDescent="0.2">
      <c r="A111" s="6" t="s">
        <v>471</v>
      </c>
      <c r="B111" s="7"/>
      <c r="C111" s="7"/>
      <c r="D111" s="7">
        <v>5.0999999999999996</v>
      </c>
      <c r="E111" s="7"/>
      <c r="F111" s="7"/>
      <c r="G111" s="7"/>
      <c r="H111" s="7"/>
      <c r="I111" s="16"/>
      <c r="J111" s="1"/>
      <c r="K111" s="1"/>
      <c r="L111" s="7">
        <f t="shared" si="5"/>
        <v>5.0999999999999996</v>
      </c>
    </row>
    <row r="112" spans="1:12" x14ac:dyDescent="0.2">
      <c r="A112" s="6" t="s">
        <v>411</v>
      </c>
      <c r="B112" s="7"/>
      <c r="C112" s="7"/>
      <c r="D112" s="7">
        <v>21</v>
      </c>
      <c r="E112" s="7"/>
      <c r="F112" s="7"/>
      <c r="G112" s="7"/>
      <c r="H112" s="7">
        <v>3</v>
      </c>
      <c r="I112" s="16"/>
      <c r="J112" s="1"/>
      <c r="K112" s="1"/>
      <c r="L112" s="7">
        <f t="shared" si="5"/>
        <v>24</v>
      </c>
    </row>
    <row r="113" spans="1:12" x14ac:dyDescent="0.2">
      <c r="A113" s="6" t="s">
        <v>413</v>
      </c>
      <c r="B113" s="7"/>
      <c r="C113" s="7"/>
      <c r="D113" s="7">
        <v>20</v>
      </c>
      <c r="E113" s="7">
        <v>4.25</v>
      </c>
      <c r="F113" s="7">
        <v>3.5</v>
      </c>
      <c r="G113" s="7">
        <v>3.5</v>
      </c>
      <c r="H113" s="7">
        <v>3</v>
      </c>
      <c r="I113" s="16"/>
      <c r="J113" s="1"/>
      <c r="K113" s="1"/>
      <c r="L113" s="7">
        <f t="shared" si="5"/>
        <v>34.25</v>
      </c>
    </row>
    <row r="114" spans="1:12" x14ac:dyDescent="0.2">
      <c r="A114" s="6" t="s">
        <v>412</v>
      </c>
      <c r="B114" s="7"/>
      <c r="C114" s="7"/>
      <c r="D114" s="7">
        <v>8</v>
      </c>
      <c r="E114" s="7"/>
      <c r="F114" s="7"/>
      <c r="G114" s="7"/>
      <c r="H114" s="7">
        <v>3</v>
      </c>
      <c r="I114" s="16"/>
      <c r="J114" s="1"/>
      <c r="K114" s="1"/>
      <c r="L114" s="7">
        <f t="shared" si="5"/>
        <v>11</v>
      </c>
    </row>
    <row r="115" spans="1:12" x14ac:dyDescent="0.2">
      <c r="A115" s="6" t="s">
        <v>418</v>
      </c>
      <c r="B115" s="7"/>
      <c r="C115" s="7"/>
      <c r="D115" s="7">
        <v>17</v>
      </c>
      <c r="E115" s="7"/>
      <c r="F115" s="7"/>
      <c r="G115" s="7"/>
      <c r="H115" s="7">
        <v>3</v>
      </c>
      <c r="I115" s="16"/>
      <c r="J115" s="1"/>
      <c r="K115" s="1"/>
      <c r="L115" s="7">
        <f t="shared" si="5"/>
        <v>20</v>
      </c>
    </row>
    <row r="116" spans="1:12" x14ac:dyDescent="0.2">
      <c r="A116" s="6" t="s">
        <v>419</v>
      </c>
      <c r="B116" s="7"/>
      <c r="C116" s="7"/>
      <c r="D116" s="7">
        <v>26</v>
      </c>
      <c r="E116" s="7">
        <v>16</v>
      </c>
      <c r="F116" s="7"/>
      <c r="G116" s="7"/>
      <c r="H116" s="7">
        <v>3</v>
      </c>
      <c r="I116" s="16"/>
      <c r="J116" s="1"/>
      <c r="K116" s="1"/>
      <c r="L116" s="7">
        <f t="shared" si="5"/>
        <v>45</v>
      </c>
    </row>
    <row r="117" spans="1:12" x14ac:dyDescent="0.2">
      <c r="A117" s="6" t="s">
        <v>420</v>
      </c>
      <c r="B117" s="7"/>
      <c r="C117" s="7"/>
      <c r="D117" s="7">
        <v>13</v>
      </c>
      <c r="E117" s="7"/>
      <c r="F117" s="7"/>
      <c r="G117" s="7"/>
      <c r="H117" s="7">
        <v>3</v>
      </c>
      <c r="I117" s="16"/>
      <c r="J117" s="1"/>
      <c r="K117" s="1"/>
      <c r="L117" s="7">
        <f t="shared" si="5"/>
        <v>16</v>
      </c>
    </row>
    <row r="118" spans="1:12" x14ac:dyDescent="0.2">
      <c r="A118" s="6" t="s">
        <v>421</v>
      </c>
      <c r="B118" s="7"/>
      <c r="C118" s="7"/>
      <c r="D118" s="7">
        <v>18</v>
      </c>
      <c r="E118" s="7"/>
      <c r="F118" s="7"/>
      <c r="G118" s="7"/>
      <c r="H118" s="7">
        <v>3</v>
      </c>
      <c r="I118" s="16"/>
      <c r="J118" s="1"/>
      <c r="K118" s="1"/>
      <c r="L118" s="7">
        <f t="shared" si="5"/>
        <v>21</v>
      </c>
    </row>
    <row r="119" spans="1:12" x14ac:dyDescent="0.2">
      <c r="A119" s="6" t="s">
        <v>422</v>
      </c>
      <c r="B119" s="7"/>
      <c r="C119" s="7"/>
      <c r="D119" s="7"/>
      <c r="E119" s="7"/>
      <c r="F119" s="7"/>
      <c r="G119" s="7"/>
      <c r="H119" s="7">
        <v>3</v>
      </c>
      <c r="I119" s="16"/>
      <c r="J119" s="1"/>
      <c r="K119" s="1"/>
      <c r="L119" s="7">
        <f t="shared" si="5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F755-DF70-A14A-96E4-327711B7DAF6}">
  <dimension ref="A1:L42"/>
  <sheetViews>
    <sheetView workbookViewId="0">
      <selection activeCell="L27" sqref="L27"/>
    </sheetView>
  </sheetViews>
  <sheetFormatPr baseColWidth="10" defaultRowHeight="16" x14ac:dyDescent="0.2"/>
  <cols>
    <col min="1" max="1" width="9.1640625" bestFit="1" customWidth="1"/>
    <col min="2" max="2" width="6.6640625" bestFit="1" customWidth="1"/>
    <col min="3" max="3" width="14.1640625" bestFit="1" customWidth="1"/>
    <col min="4" max="8" width="12.83203125" bestFit="1" customWidth="1"/>
    <col min="9" max="10" width="12.83203125" customWidth="1"/>
    <col min="11" max="11" width="12.83203125" bestFit="1" customWidth="1"/>
    <col min="12" max="12" width="14.1640625" bestFit="1" customWidth="1"/>
    <col min="13" max="13" width="4.1640625" bestFit="1" customWidth="1"/>
    <col min="14" max="14" width="5.1640625" bestFit="1" customWidth="1"/>
  </cols>
  <sheetData>
    <row r="1" spans="1:12" x14ac:dyDescent="0.2">
      <c r="A1" s="1" t="s">
        <v>5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/>
      <c r="J1" s="1"/>
      <c r="K1" s="1" t="s">
        <v>3</v>
      </c>
      <c r="L1" s="2" t="s">
        <v>4</v>
      </c>
    </row>
    <row r="2" spans="1:12" x14ac:dyDescent="0.2">
      <c r="A2" s="3">
        <v>1711</v>
      </c>
      <c r="B2" s="1">
        <v>1</v>
      </c>
      <c r="C2" s="1">
        <v>23.7</v>
      </c>
      <c r="D2" s="1">
        <v>3.2</v>
      </c>
      <c r="E2" s="1"/>
      <c r="F2" s="1"/>
      <c r="G2" s="1"/>
      <c r="H2" s="1"/>
      <c r="I2" s="1"/>
      <c r="J2" s="1"/>
      <c r="K2" s="1"/>
      <c r="L2" s="1">
        <f t="shared" ref="L2:L24" si="0">+B2*C2+D2+E2+F2+G2+H2+K2</f>
        <v>26.9</v>
      </c>
    </row>
    <row r="3" spans="1:12" x14ac:dyDescent="0.2">
      <c r="A3" s="3">
        <v>1707</v>
      </c>
      <c r="B3" s="1">
        <v>1</v>
      </c>
      <c r="C3" s="1">
        <v>10.5</v>
      </c>
      <c r="D3" s="1"/>
      <c r="E3" s="1">
        <v>4.45</v>
      </c>
      <c r="F3" s="1"/>
      <c r="G3" s="1"/>
      <c r="H3" s="1"/>
      <c r="I3" s="1"/>
      <c r="J3" s="1"/>
      <c r="K3" s="1"/>
      <c r="L3" s="1">
        <f t="shared" si="0"/>
        <v>14.95</v>
      </c>
    </row>
    <row r="4" spans="1:12" x14ac:dyDescent="0.2">
      <c r="A4" s="3">
        <v>1492</v>
      </c>
      <c r="B4" s="1">
        <v>1</v>
      </c>
      <c r="C4" s="1">
        <v>19.5</v>
      </c>
      <c r="D4" s="1"/>
      <c r="E4" s="1"/>
      <c r="F4" s="1"/>
      <c r="G4" s="1"/>
      <c r="H4" s="1"/>
      <c r="I4" s="1"/>
      <c r="J4" s="1"/>
      <c r="K4" s="1"/>
      <c r="L4" s="1">
        <f t="shared" si="0"/>
        <v>19.5</v>
      </c>
    </row>
    <row r="5" spans="1:12" x14ac:dyDescent="0.2">
      <c r="A5" s="3">
        <v>1909</v>
      </c>
      <c r="B5" s="1">
        <v>1</v>
      </c>
      <c r="C5" s="1">
        <v>28.5</v>
      </c>
      <c r="D5" s="1">
        <v>13.2</v>
      </c>
      <c r="E5" s="1"/>
      <c r="F5" s="1"/>
      <c r="G5" s="1"/>
      <c r="H5" s="1"/>
      <c r="I5" s="1"/>
      <c r="J5" s="1"/>
      <c r="K5" s="1"/>
      <c r="L5" s="1">
        <f t="shared" si="0"/>
        <v>41.7</v>
      </c>
    </row>
    <row r="6" spans="1:12" x14ac:dyDescent="0.2">
      <c r="A6" s="3">
        <v>1493</v>
      </c>
      <c r="B6" s="1">
        <v>1</v>
      </c>
      <c r="C6" s="1">
        <v>20.7</v>
      </c>
      <c r="D6" s="1">
        <v>3.3</v>
      </c>
      <c r="E6" s="1">
        <v>3</v>
      </c>
      <c r="F6" s="1"/>
      <c r="G6" s="1"/>
      <c r="H6" s="1"/>
      <c r="I6" s="1"/>
      <c r="J6" s="1"/>
      <c r="K6" s="1"/>
      <c r="L6" s="1">
        <f t="shared" si="0"/>
        <v>27</v>
      </c>
    </row>
    <row r="7" spans="1:12" x14ac:dyDescent="0.2">
      <c r="A7" s="3" t="s">
        <v>108</v>
      </c>
      <c r="B7" s="1">
        <v>1</v>
      </c>
      <c r="C7" s="1">
        <v>21.6</v>
      </c>
      <c r="D7" s="1"/>
      <c r="E7" s="1"/>
      <c r="F7" s="1"/>
      <c r="G7" s="1"/>
      <c r="H7" s="1"/>
      <c r="I7" s="1"/>
      <c r="J7" s="1"/>
      <c r="K7" s="1"/>
      <c r="L7" s="1">
        <f t="shared" si="0"/>
        <v>21.6</v>
      </c>
    </row>
    <row r="8" spans="1:12" x14ac:dyDescent="0.2">
      <c r="A8" s="3" t="s">
        <v>109</v>
      </c>
      <c r="B8" s="1">
        <v>1</v>
      </c>
      <c r="C8" s="1">
        <v>22</v>
      </c>
      <c r="D8" s="1"/>
      <c r="E8" s="1"/>
      <c r="F8" s="1"/>
      <c r="G8" s="1"/>
      <c r="H8" s="1"/>
      <c r="I8" s="1"/>
      <c r="J8" s="1"/>
      <c r="K8" s="1"/>
      <c r="L8" s="1">
        <f t="shared" si="0"/>
        <v>22</v>
      </c>
    </row>
    <row r="9" spans="1:12" x14ac:dyDescent="0.2">
      <c r="A9" s="3">
        <v>1712</v>
      </c>
      <c r="B9" s="1">
        <v>1</v>
      </c>
      <c r="C9" s="1">
        <v>16</v>
      </c>
      <c r="D9" s="1">
        <v>8.1999999999999993</v>
      </c>
      <c r="E9" s="1"/>
      <c r="F9" s="1"/>
      <c r="G9" s="1"/>
      <c r="H9" s="1"/>
      <c r="I9" s="1"/>
      <c r="J9" s="1"/>
      <c r="K9" s="1"/>
      <c r="L9" s="1">
        <f t="shared" si="0"/>
        <v>24.2</v>
      </c>
    </row>
    <row r="10" spans="1:12" x14ac:dyDescent="0.2">
      <c r="A10" s="3">
        <v>1716</v>
      </c>
      <c r="B10" s="1">
        <v>1</v>
      </c>
      <c r="C10" s="1">
        <v>32.4</v>
      </c>
      <c r="D10" s="1">
        <v>3.6</v>
      </c>
      <c r="E10" s="1"/>
      <c r="F10" s="1"/>
      <c r="G10" s="1"/>
      <c r="H10" s="1"/>
      <c r="I10" s="1"/>
      <c r="J10" s="1"/>
      <c r="K10" s="1"/>
      <c r="L10" s="1">
        <f t="shared" si="0"/>
        <v>36</v>
      </c>
    </row>
    <row r="11" spans="1:12" x14ac:dyDescent="0.2">
      <c r="A11" s="3">
        <v>1489</v>
      </c>
      <c r="B11" s="1">
        <v>1</v>
      </c>
      <c r="C11" s="1">
        <v>34.799999999999997</v>
      </c>
      <c r="D11" s="1">
        <v>3.7</v>
      </c>
      <c r="E11" s="1"/>
      <c r="F11" s="1"/>
      <c r="G11" s="1"/>
      <c r="H11" s="1"/>
      <c r="I11" s="1"/>
      <c r="J11" s="1"/>
      <c r="K11" s="1"/>
      <c r="L11" s="1">
        <f t="shared" si="0"/>
        <v>38.5</v>
      </c>
    </row>
    <row r="12" spans="1:12" x14ac:dyDescent="0.2">
      <c r="A12" s="3">
        <v>1913</v>
      </c>
      <c r="B12" s="1">
        <v>1</v>
      </c>
      <c r="C12" s="1">
        <v>34.799999999999997</v>
      </c>
      <c r="D12" s="1"/>
      <c r="E12" s="1"/>
      <c r="F12" s="1"/>
      <c r="G12" s="1"/>
      <c r="H12" s="1"/>
      <c r="I12" s="1"/>
      <c r="J12" s="1"/>
      <c r="K12" s="1"/>
      <c r="L12" s="1">
        <f t="shared" si="0"/>
        <v>34.799999999999997</v>
      </c>
    </row>
    <row r="13" spans="1:12" x14ac:dyDescent="0.2">
      <c r="A13" s="3">
        <v>1907</v>
      </c>
      <c r="B13" s="1">
        <v>1</v>
      </c>
      <c r="C13" s="1">
        <v>21.3</v>
      </c>
      <c r="D13" s="1"/>
      <c r="E13" s="1"/>
      <c r="F13" s="1"/>
      <c r="G13" s="1"/>
      <c r="H13" s="1"/>
      <c r="I13" s="1"/>
      <c r="J13" s="1"/>
      <c r="K13" s="1"/>
      <c r="L13" s="1">
        <f t="shared" si="0"/>
        <v>21.3</v>
      </c>
    </row>
    <row r="14" spans="1:12" x14ac:dyDescent="0.2">
      <c r="A14" s="3">
        <v>1714</v>
      </c>
      <c r="B14" s="1">
        <v>1</v>
      </c>
      <c r="C14" s="1">
        <v>20.5</v>
      </c>
      <c r="D14" s="1"/>
      <c r="E14" s="1"/>
      <c r="F14" s="1"/>
      <c r="G14" s="1"/>
      <c r="H14" s="1"/>
      <c r="I14" s="1"/>
      <c r="J14" s="1"/>
      <c r="K14" s="1"/>
      <c r="L14" s="1">
        <f t="shared" si="0"/>
        <v>20.5</v>
      </c>
    </row>
    <row r="15" spans="1:12" x14ac:dyDescent="0.2">
      <c r="A15" s="3">
        <v>1709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>
        <f t="shared" si="0"/>
        <v>0</v>
      </c>
    </row>
    <row r="16" spans="1:12" x14ac:dyDescent="0.2">
      <c r="A16" s="3">
        <v>101</v>
      </c>
      <c r="B16" s="1">
        <v>1</v>
      </c>
      <c r="C16" s="1">
        <v>29.9</v>
      </c>
      <c r="D16" s="1"/>
      <c r="E16" s="1"/>
      <c r="F16" s="1"/>
      <c r="G16" s="1"/>
      <c r="H16" s="1"/>
      <c r="I16" s="1"/>
      <c r="J16" s="1"/>
      <c r="K16" s="1"/>
      <c r="L16" s="1">
        <f t="shared" si="0"/>
        <v>29.9</v>
      </c>
    </row>
    <row r="17" spans="1:12" x14ac:dyDescent="0.2">
      <c r="A17" s="3">
        <v>102</v>
      </c>
      <c r="B17" s="1">
        <v>1</v>
      </c>
      <c r="C17" s="1">
        <v>30.5</v>
      </c>
      <c r="D17" s="1"/>
      <c r="E17" s="1"/>
      <c r="F17" s="1"/>
      <c r="G17" s="1"/>
      <c r="H17" s="1"/>
      <c r="I17" s="1"/>
      <c r="J17" s="1"/>
      <c r="K17" s="1"/>
      <c r="L17" s="1">
        <f t="shared" si="0"/>
        <v>30.5</v>
      </c>
    </row>
    <row r="18" spans="1:12" x14ac:dyDescent="0.2">
      <c r="A18" s="3">
        <v>103</v>
      </c>
      <c r="B18" s="1"/>
      <c r="C18" s="1"/>
      <c r="D18" s="1">
        <v>15.5</v>
      </c>
      <c r="E18" s="1"/>
      <c r="F18" s="1"/>
      <c r="G18" s="1"/>
      <c r="H18" s="1"/>
      <c r="I18" s="1"/>
      <c r="J18" s="1"/>
      <c r="K18" s="1"/>
      <c r="L18" s="1">
        <f t="shared" si="0"/>
        <v>15.5</v>
      </c>
    </row>
    <row r="19" spans="1:12" x14ac:dyDescent="0.2">
      <c r="A19" s="3">
        <v>104</v>
      </c>
      <c r="B19" s="1"/>
      <c r="C19" s="1"/>
      <c r="D19" s="1">
        <v>10</v>
      </c>
      <c r="E19" s="1"/>
      <c r="F19" s="1"/>
      <c r="G19" s="1"/>
      <c r="H19" s="1"/>
      <c r="I19" s="1"/>
      <c r="J19" s="1"/>
      <c r="K19" s="1"/>
      <c r="L19" s="1">
        <f t="shared" si="0"/>
        <v>10</v>
      </c>
    </row>
    <row r="20" spans="1:12" x14ac:dyDescent="0.2">
      <c r="A20" s="3">
        <v>105</v>
      </c>
      <c r="B20" s="1"/>
      <c r="C20" s="1"/>
      <c r="D20" s="1">
        <v>16.600000000000001</v>
      </c>
      <c r="E20" s="1"/>
      <c r="F20" s="1"/>
      <c r="G20" s="1"/>
      <c r="H20" s="1"/>
      <c r="I20" s="1"/>
      <c r="J20" s="1"/>
      <c r="K20" s="1"/>
      <c r="L20" s="1">
        <f t="shared" si="0"/>
        <v>16.600000000000001</v>
      </c>
    </row>
    <row r="21" spans="1:12" x14ac:dyDescent="0.2">
      <c r="A21" s="3" t="s">
        <v>110</v>
      </c>
      <c r="B21" s="1">
        <v>2</v>
      </c>
      <c r="C21" s="1">
        <v>30</v>
      </c>
      <c r="D21" s="1">
        <v>5.8</v>
      </c>
      <c r="E21" s="1">
        <v>7.4</v>
      </c>
      <c r="F21" s="1"/>
      <c r="G21" s="1"/>
      <c r="H21" s="1"/>
      <c r="I21" s="1"/>
      <c r="J21" s="1"/>
      <c r="K21" s="1"/>
      <c r="L21" s="1">
        <f t="shared" si="0"/>
        <v>73.2</v>
      </c>
    </row>
    <row r="22" spans="1:12" x14ac:dyDescent="0.2">
      <c r="A22" s="3" t="s">
        <v>111</v>
      </c>
      <c r="B22" s="1">
        <v>1</v>
      </c>
      <c r="C22" s="1">
        <v>26.4</v>
      </c>
      <c r="D22" s="1">
        <v>24.6</v>
      </c>
      <c r="E22" s="1">
        <v>19.2</v>
      </c>
      <c r="F22" s="1">
        <v>10.5</v>
      </c>
      <c r="G22" s="1">
        <v>4.5</v>
      </c>
      <c r="H22" s="1"/>
      <c r="I22" s="1"/>
      <c r="J22" s="1"/>
      <c r="K22" s="1"/>
      <c r="L22" s="1">
        <f t="shared" si="0"/>
        <v>85.2</v>
      </c>
    </row>
    <row r="23" spans="1:12" x14ac:dyDescent="0.2">
      <c r="A23" s="3" t="s">
        <v>112</v>
      </c>
      <c r="B23" s="1">
        <v>1</v>
      </c>
      <c r="C23" s="1">
        <v>28</v>
      </c>
      <c r="D23" s="1">
        <v>13.9</v>
      </c>
      <c r="E23" s="1">
        <v>13.2</v>
      </c>
      <c r="F23" s="1">
        <v>8.9</v>
      </c>
      <c r="G23" s="1">
        <v>8</v>
      </c>
      <c r="H23" s="1">
        <v>7.5</v>
      </c>
      <c r="I23" s="1"/>
      <c r="J23" s="1"/>
      <c r="K23" s="1">
        <v>2.9</v>
      </c>
      <c r="L23" s="1">
        <f t="shared" si="0"/>
        <v>82.4</v>
      </c>
    </row>
    <row r="24" spans="1:12" x14ac:dyDescent="0.2">
      <c r="A24" s="3" t="s">
        <v>113</v>
      </c>
      <c r="B24" s="1"/>
      <c r="C24" s="1"/>
      <c r="D24" s="1">
        <v>7</v>
      </c>
      <c r="E24" s="1"/>
      <c r="F24" s="1"/>
      <c r="G24" s="1"/>
      <c r="H24" s="1"/>
      <c r="I24" s="1"/>
      <c r="J24" s="1"/>
      <c r="K24" s="1"/>
      <c r="L24" s="1">
        <f t="shared" si="0"/>
        <v>7</v>
      </c>
    </row>
    <row r="25" spans="1:12" x14ac:dyDescent="0.2">
      <c r="A25" s="6" t="s">
        <v>310</v>
      </c>
      <c r="B25" s="7"/>
      <c r="C25" s="7">
        <v>64</v>
      </c>
      <c r="D25" s="7">
        <v>60.7</v>
      </c>
      <c r="E25" s="1">
        <v>-50.5</v>
      </c>
      <c r="F25" s="1"/>
      <c r="G25" s="1"/>
      <c r="H25" s="1"/>
      <c r="I25" s="1"/>
      <c r="J25" s="1"/>
      <c r="K25" s="7">
        <v>3.3</v>
      </c>
      <c r="L25" s="7">
        <f>+B25*C25+D25+E25+F25+K25+G25+H25+I25+J25</f>
        <v>13.500000000000004</v>
      </c>
    </row>
    <row r="26" spans="1:12" x14ac:dyDescent="0.2">
      <c r="A26" s="6" t="s">
        <v>311</v>
      </c>
      <c r="B26" s="7"/>
      <c r="C26" s="7">
        <v>62.6</v>
      </c>
      <c r="D26" s="7">
        <v>59.3</v>
      </c>
      <c r="E26" s="1">
        <v>-37</v>
      </c>
      <c r="F26" s="1"/>
      <c r="G26" s="1"/>
      <c r="H26" s="1"/>
      <c r="I26" s="1"/>
      <c r="J26" s="1"/>
      <c r="K26" s="7">
        <v>3.3</v>
      </c>
      <c r="L26" s="7">
        <f t="shared" ref="L26:L42" si="1">+B26*C26+D26+E26+F26+K26+G26+H26+I26+J26</f>
        <v>25.599999999999998</v>
      </c>
    </row>
    <row r="27" spans="1:12" x14ac:dyDescent="0.2">
      <c r="A27" s="6" t="s">
        <v>312</v>
      </c>
      <c r="B27" s="7"/>
      <c r="C27" s="7">
        <v>60.7</v>
      </c>
      <c r="D27" s="7">
        <v>44.6</v>
      </c>
      <c r="E27" s="1">
        <v>-39.6</v>
      </c>
      <c r="F27" s="1"/>
      <c r="G27" s="1"/>
      <c r="H27" s="1"/>
      <c r="I27" s="1"/>
      <c r="J27" s="1"/>
      <c r="K27" s="7">
        <v>3.3</v>
      </c>
      <c r="L27" s="7">
        <f t="shared" si="1"/>
        <v>8.3000000000000007</v>
      </c>
    </row>
    <row r="28" spans="1:12" x14ac:dyDescent="0.2">
      <c r="A28" s="6" t="s">
        <v>313</v>
      </c>
      <c r="B28" s="7"/>
      <c r="C28" s="7">
        <v>60</v>
      </c>
      <c r="D28" s="7">
        <v>56.7</v>
      </c>
      <c r="E28" s="1">
        <v>-18.2</v>
      </c>
      <c r="F28" s="1"/>
      <c r="G28" s="1"/>
      <c r="H28" s="1"/>
      <c r="I28" s="1"/>
      <c r="J28" s="1"/>
      <c r="K28" s="7">
        <v>3.3</v>
      </c>
      <c r="L28" s="7">
        <f t="shared" si="1"/>
        <v>41.8</v>
      </c>
    </row>
    <row r="29" spans="1:12" x14ac:dyDescent="0.2">
      <c r="A29" s="6" t="s">
        <v>314</v>
      </c>
      <c r="B29" s="7"/>
      <c r="C29" s="7">
        <v>60.6</v>
      </c>
      <c r="D29" s="7">
        <v>57.3</v>
      </c>
      <c r="E29" s="1">
        <v>-28.8</v>
      </c>
      <c r="F29" s="1"/>
      <c r="G29" s="1"/>
      <c r="H29" s="1"/>
      <c r="I29" s="1"/>
      <c r="J29" s="1"/>
      <c r="K29" s="7">
        <v>3.3</v>
      </c>
      <c r="L29" s="7">
        <f t="shared" si="1"/>
        <v>31.799999999999997</v>
      </c>
    </row>
    <row r="30" spans="1:12" x14ac:dyDescent="0.2">
      <c r="A30" s="6" t="s">
        <v>315</v>
      </c>
      <c r="B30" s="7"/>
      <c r="C30" s="7">
        <v>60</v>
      </c>
      <c r="D30" s="7">
        <v>56.7</v>
      </c>
      <c r="E30" s="1">
        <v>-28.8</v>
      </c>
      <c r="F30" s="1"/>
      <c r="G30" s="1"/>
      <c r="H30" s="1"/>
      <c r="I30" s="1"/>
      <c r="J30" s="1"/>
      <c r="K30" s="7">
        <v>3.3</v>
      </c>
      <c r="L30" s="7">
        <f t="shared" si="1"/>
        <v>31.200000000000003</v>
      </c>
    </row>
    <row r="31" spans="1:12" x14ac:dyDescent="0.2">
      <c r="A31" s="6" t="s">
        <v>316</v>
      </c>
      <c r="B31" s="7"/>
      <c r="C31" s="7">
        <v>60</v>
      </c>
      <c r="D31" s="7">
        <v>56.7</v>
      </c>
      <c r="E31" s="1">
        <v>-7.2</v>
      </c>
      <c r="F31" s="1"/>
      <c r="G31" s="1"/>
      <c r="H31" s="1"/>
      <c r="I31" s="1"/>
      <c r="J31" s="1"/>
      <c r="K31" s="7">
        <v>3.3</v>
      </c>
      <c r="L31" s="7">
        <f t="shared" si="1"/>
        <v>52.8</v>
      </c>
    </row>
    <row r="32" spans="1:12" x14ac:dyDescent="0.2">
      <c r="A32" s="6" t="s">
        <v>317</v>
      </c>
      <c r="B32" s="7"/>
      <c r="C32" s="7">
        <v>57</v>
      </c>
      <c r="D32" s="7">
        <v>53.7</v>
      </c>
      <c r="E32" s="7"/>
      <c r="F32" s="16"/>
      <c r="G32" s="1"/>
      <c r="H32" s="1"/>
      <c r="I32" s="1"/>
      <c r="J32" s="1"/>
      <c r="K32" s="7">
        <v>3.3</v>
      </c>
      <c r="L32" s="7">
        <f t="shared" si="1"/>
        <v>57</v>
      </c>
    </row>
    <row r="33" spans="1:12" x14ac:dyDescent="0.2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7">
        <f t="shared" si="1"/>
        <v>0</v>
      </c>
    </row>
    <row r="34" spans="1:12" x14ac:dyDescent="0.2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7">
        <f t="shared" si="1"/>
        <v>0</v>
      </c>
    </row>
    <row r="35" spans="1:12" x14ac:dyDescent="0.2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7">
        <f t="shared" si="1"/>
        <v>0</v>
      </c>
    </row>
    <row r="36" spans="1:12" x14ac:dyDescent="0.2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7">
        <f t="shared" si="1"/>
        <v>0</v>
      </c>
    </row>
    <row r="37" spans="1:12" x14ac:dyDescent="0.2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7">
        <f t="shared" si="1"/>
        <v>0</v>
      </c>
    </row>
    <row r="38" spans="1:12" x14ac:dyDescent="0.2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7">
        <f t="shared" si="1"/>
        <v>0</v>
      </c>
    </row>
    <row r="39" spans="1:12" x14ac:dyDescent="0.2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7">
        <f t="shared" si="1"/>
        <v>0</v>
      </c>
    </row>
    <row r="40" spans="1:12" x14ac:dyDescent="0.2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7">
        <f t="shared" si="1"/>
        <v>0</v>
      </c>
    </row>
    <row r="41" spans="1:12" x14ac:dyDescent="0.2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7">
        <f t="shared" si="1"/>
        <v>0</v>
      </c>
    </row>
    <row r="42" spans="1:12" x14ac:dyDescent="0.2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7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246B-16D9-854D-BB4A-04F47C954DD6}">
  <dimension ref="A1:H101"/>
  <sheetViews>
    <sheetView topLeftCell="A48" workbookViewId="0">
      <selection activeCell="M16" sqref="M16"/>
    </sheetView>
  </sheetViews>
  <sheetFormatPr baseColWidth="10" defaultRowHeight="16" x14ac:dyDescent="0.2"/>
  <cols>
    <col min="1" max="1" width="8.83203125" bestFit="1" customWidth="1"/>
    <col min="2" max="2" width="6.6640625" bestFit="1" customWidth="1"/>
    <col min="3" max="3" width="14.1640625" bestFit="1" customWidth="1"/>
    <col min="4" max="7" width="12.83203125" bestFit="1" customWidth="1"/>
    <col min="8" max="8" width="14.1640625" bestFit="1" customWidth="1"/>
  </cols>
  <sheetData>
    <row r="1" spans="1:8" x14ac:dyDescent="0.2">
      <c r="A1" s="4" t="s">
        <v>5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5" t="s">
        <v>4</v>
      </c>
    </row>
    <row r="2" spans="1:8" x14ac:dyDescent="0.2">
      <c r="A2" s="6" t="s">
        <v>114</v>
      </c>
      <c r="B2" s="7"/>
      <c r="C2" s="7"/>
      <c r="D2" s="7">
        <v>7</v>
      </c>
      <c r="E2" s="7"/>
      <c r="F2" s="7"/>
      <c r="G2" s="7"/>
      <c r="H2" s="7">
        <f>+B2*C2+D2+E2+F2+G2</f>
        <v>7</v>
      </c>
    </row>
    <row r="3" spans="1:8" x14ac:dyDescent="0.2">
      <c r="A3" s="6" t="s">
        <v>115</v>
      </c>
      <c r="B3" s="7"/>
      <c r="C3" s="7"/>
      <c r="D3" s="7">
        <v>7.2</v>
      </c>
      <c r="E3" s="7"/>
      <c r="F3" s="7"/>
      <c r="G3" s="7"/>
      <c r="H3" s="7">
        <f t="shared" ref="H3:H66" si="0">+B3*C3+D3+E3+F3+G3</f>
        <v>7.2</v>
      </c>
    </row>
    <row r="4" spans="1:8" x14ac:dyDescent="0.2">
      <c r="A4" s="6" t="s">
        <v>116</v>
      </c>
      <c r="B4" s="7"/>
      <c r="C4" s="7"/>
      <c r="D4" s="7">
        <v>10.5</v>
      </c>
      <c r="E4" s="7"/>
      <c r="F4" s="7"/>
      <c r="G4" s="7"/>
      <c r="H4" s="7">
        <f t="shared" si="0"/>
        <v>10.5</v>
      </c>
    </row>
    <row r="5" spans="1:8" x14ac:dyDescent="0.2">
      <c r="A5" s="6" t="s">
        <v>117</v>
      </c>
      <c r="B5" s="7"/>
      <c r="C5" s="7"/>
      <c r="D5" s="7">
        <v>5.9</v>
      </c>
      <c r="E5" s="7"/>
      <c r="F5" s="7"/>
      <c r="G5" s="7"/>
      <c r="H5" s="7">
        <f t="shared" si="0"/>
        <v>5.9</v>
      </c>
    </row>
    <row r="6" spans="1:8" x14ac:dyDescent="0.2">
      <c r="A6" s="6" t="s">
        <v>118</v>
      </c>
      <c r="B6" s="7"/>
      <c r="C6" s="7"/>
      <c r="D6" s="7">
        <v>4.9000000000000004</v>
      </c>
      <c r="E6" s="7"/>
      <c r="F6" s="7"/>
      <c r="G6" s="7"/>
      <c r="H6" s="7">
        <f t="shared" si="0"/>
        <v>4.9000000000000004</v>
      </c>
    </row>
    <row r="7" spans="1:8" x14ac:dyDescent="0.2">
      <c r="A7" s="6" t="s">
        <v>119</v>
      </c>
      <c r="B7" s="7"/>
      <c r="C7" s="7"/>
      <c r="D7" s="7">
        <v>8.6999999999999993</v>
      </c>
      <c r="E7" s="7"/>
      <c r="F7" s="7"/>
      <c r="G7" s="7"/>
      <c r="H7" s="7">
        <f t="shared" si="0"/>
        <v>8.6999999999999993</v>
      </c>
    </row>
    <row r="8" spans="1:8" x14ac:dyDescent="0.2">
      <c r="A8" s="6" t="s">
        <v>120</v>
      </c>
      <c r="B8" s="7"/>
      <c r="C8" s="7"/>
      <c r="D8" s="7">
        <v>7</v>
      </c>
      <c r="E8" s="7"/>
      <c r="F8" s="7"/>
      <c r="G8" s="7"/>
      <c r="H8" s="7">
        <f t="shared" si="0"/>
        <v>7</v>
      </c>
    </row>
    <row r="9" spans="1:8" x14ac:dyDescent="0.2">
      <c r="A9" s="6" t="s">
        <v>121</v>
      </c>
      <c r="B9" s="7"/>
      <c r="C9" s="7"/>
      <c r="D9" s="7">
        <v>5.8</v>
      </c>
      <c r="E9" s="7"/>
      <c r="F9" s="7"/>
      <c r="G9" s="7"/>
      <c r="H9" s="7">
        <f t="shared" si="0"/>
        <v>5.8</v>
      </c>
    </row>
    <row r="10" spans="1:8" x14ac:dyDescent="0.2">
      <c r="A10" s="6" t="s">
        <v>122</v>
      </c>
      <c r="B10" s="7"/>
      <c r="C10" s="7"/>
      <c r="D10" s="7">
        <v>7</v>
      </c>
      <c r="E10" s="7"/>
      <c r="F10" s="7"/>
      <c r="G10" s="7"/>
      <c r="H10" s="7">
        <f t="shared" si="0"/>
        <v>7</v>
      </c>
    </row>
    <row r="11" spans="1:8" x14ac:dyDescent="0.2">
      <c r="A11" s="6" t="s">
        <v>123</v>
      </c>
      <c r="B11" s="7"/>
      <c r="C11" s="7"/>
      <c r="D11" s="7">
        <v>9</v>
      </c>
      <c r="E11" s="7"/>
      <c r="F11" s="7"/>
      <c r="G11" s="7"/>
      <c r="H11" s="7">
        <f t="shared" si="0"/>
        <v>9</v>
      </c>
    </row>
    <row r="12" spans="1:8" x14ac:dyDescent="0.2">
      <c r="A12" s="6" t="s">
        <v>124</v>
      </c>
      <c r="B12" s="7"/>
      <c r="C12" s="7"/>
      <c r="D12" s="7">
        <v>7.9</v>
      </c>
      <c r="E12" s="7"/>
      <c r="F12" s="7"/>
      <c r="G12" s="7"/>
      <c r="H12" s="7">
        <f t="shared" si="0"/>
        <v>7.9</v>
      </c>
    </row>
    <row r="13" spans="1:8" x14ac:dyDescent="0.2">
      <c r="A13" s="6" t="s">
        <v>125</v>
      </c>
      <c r="B13" s="7"/>
      <c r="C13" s="7"/>
      <c r="D13" s="7">
        <v>9</v>
      </c>
      <c r="E13" s="7"/>
      <c r="F13" s="7"/>
      <c r="G13" s="7"/>
      <c r="H13" s="7">
        <f t="shared" si="0"/>
        <v>9</v>
      </c>
    </row>
    <row r="14" spans="1:8" x14ac:dyDescent="0.2">
      <c r="A14" s="6" t="s">
        <v>126</v>
      </c>
      <c r="B14" s="7"/>
      <c r="C14" s="7"/>
      <c r="D14" s="7">
        <v>5.3</v>
      </c>
      <c r="E14" s="7"/>
      <c r="F14" s="7"/>
      <c r="G14" s="7"/>
      <c r="H14" s="7">
        <f t="shared" si="0"/>
        <v>5.3</v>
      </c>
    </row>
    <row r="15" spans="1:8" x14ac:dyDescent="0.2">
      <c r="A15" s="6" t="s">
        <v>127</v>
      </c>
      <c r="B15" s="7"/>
      <c r="C15" s="7"/>
      <c r="D15" s="7">
        <v>4.8</v>
      </c>
      <c r="E15" s="7"/>
      <c r="F15" s="7"/>
      <c r="G15" s="7"/>
      <c r="H15" s="7">
        <f t="shared" si="0"/>
        <v>4.8</v>
      </c>
    </row>
    <row r="16" spans="1:8" x14ac:dyDescent="0.2">
      <c r="A16" s="6" t="s">
        <v>128</v>
      </c>
      <c r="B16" s="7"/>
      <c r="C16" s="7"/>
      <c r="D16" s="7">
        <v>7.6</v>
      </c>
      <c r="E16" s="7"/>
      <c r="F16" s="7"/>
      <c r="G16" s="7"/>
      <c r="H16" s="7">
        <f t="shared" si="0"/>
        <v>7.6</v>
      </c>
    </row>
    <row r="17" spans="1:8" x14ac:dyDescent="0.2">
      <c r="A17" s="6" t="s">
        <v>129</v>
      </c>
      <c r="B17" s="7"/>
      <c r="C17" s="7"/>
      <c r="D17" s="7">
        <v>7.5</v>
      </c>
      <c r="E17" s="7"/>
      <c r="F17" s="7"/>
      <c r="G17" s="7"/>
      <c r="H17" s="7">
        <f t="shared" si="0"/>
        <v>7.5</v>
      </c>
    </row>
    <row r="18" spans="1:8" x14ac:dyDescent="0.2">
      <c r="A18" s="6" t="s">
        <v>130</v>
      </c>
      <c r="B18" s="7"/>
      <c r="C18" s="7"/>
      <c r="D18" s="7">
        <v>7.4</v>
      </c>
      <c r="E18" s="7"/>
      <c r="F18" s="7"/>
      <c r="G18" s="7"/>
      <c r="H18" s="7">
        <f t="shared" si="0"/>
        <v>7.4</v>
      </c>
    </row>
    <row r="19" spans="1:8" x14ac:dyDescent="0.2">
      <c r="A19" s="6" t="s">
        <v>131</v>
      </c>
      <c r="B19" s="7"/>
      <c r="C19" s="7"/>
      <c r="D19" s="7">
        <v>7.4</v>
      </c>
      <c r="E19" s="7"/>
      <c r="F19" s="7"/>
      <c r="G19" s="7"/>
      <c r="H19" s="7">
        <f t="shared" si="0"/>
        <v>7.4</v>
      </c>
    </row>
    <row r="20" spans="1:8" x14ac:dyDescent="0.2">
      <c r="A20" s="6" t="s">
        <v>132</v>
      </c>
      <c r="B20" s="7"/>
      <c r="C20" s="7"/>
      <c r="D20" s="7">
        <v>7.4</v>
      </c>
      <c r="E20" s="7"/>
      <c r="F20" s="7"/>
      <c r="G20" s="7"/>
      <c r="H20" s="7">
        <f t="shared" si="0"/>
        <v>7.4</v>
      </c>
    </row>
    <row r="21" spans="1:8" x14ac:dyDescent="0.2">
      <c r="A21" s="6" t="s">
        <v>133</v>
      </c>
      <c r="B21" s="7"/>
      <c r="C21" s="7"/>
      <c r="D21" s="7">
        <v>7.5</v>
      </c>
      <c r="E21" s="7"/>
      <c r="F21" s="7"/>
      <c r="G21" s="7"/>
      <c r="H21" s="7">
        <f t="shared" si="0"/>
        <v>7.5</v>
      </c>
    </row>
    <row r="22" spans="1:8" x14ac:dyDescent="0.2">
      <c r="A22" s="6" t="s">
        <v>134</v>
      </c>
      <c r="B22" s="7"/>
      <c r="C22" s="7"/>
      <c r="D22" s="7">
        <v>7.4</v>
      </c>
      <c r="E22" s="7"/>
      <c r="F22" s="7"/>
      <c r="G22" s="7"/>
      <c r="H22" s="7">
        <f t="shared" si="0"/>
        <v>7.4</v>
      </c>
    </row>
    <row r="23" spans="1:8" x14ac:dyDescent="0.2">
      <c r="A23" s="6" t="s">
        <v>135</v>
      </c>
      <c r="B23" s="7"/>
      <c r="C23" s="7"/>
      <c r="D23" s="7">
        <v>7.4</v>
      </c>
      <c r="E23" s="7"/>
      <c r="F23" s="7"/>
      <c r="G23" s="7"/>
      <c r="H23" s="7">
        <f t="shared" si="0"/>
        <v>7.4</v>
      </c>
    </row>
    <row r="24" spans="1:8" x14ac:dyDescent="0.2">
      <c r="A24" s="6" t="s">
        <v>136</v>
      </c>
      <c r="B24" s="7"/>
      <c r="C24" s="7"/>
      <c r="D24" s="7">
        <v>7.3</v>
      </c>
      <c r="E24" s="7"/>
      <c r="F24" s="7"/>
      <c r="G24" s="7"/>
      <c r="H24" s="7">
        <f t="shared" si="0"/>
        <v>7.3</v>
      </c>
    </row>
    <row r="25" spans="1:8" x14ac:dyDescent="0.2">
      <c r="A25" s="6" t="s">
        <v>137</v>
      </c>
      <c r="B25" s="7"/>
      <c r="C25" s="7"/>
      <c r="D25" s="7">
        <v>7.2</v>
      </c>
      <c r="E25" s="7"/>
      <c r="F25" s="7"/>
      <c r="G25" s="7"/>
      <c r="H25" s="7">
        <f t="shared" si="0"/>
        <v>7.2</v>
      </c>
    </row>
    <row r="26" spans="1:8" x14ac:dyDescent="0.2">
      <c r="A26" s="6" t="s">
        <v>138</v>
      </c>
      <c r="B26" s="7"/>
      <c r="C26" s="7"/>
      <c r="D26" s="7">
        <v>6.9</v>
      </c>
      <c r="E26" s="7"/>
      <c r="F26" s="7"/>
      <c r="G26" s="7"/>
      <c r="H26" s="7">
        <f t="shared" si="0"/>
        <v>6.9</v>
      </c>
    </row>
    <row r="27" spans="1:8" x14ac:dyDescent="0.2">
      <c r="A27" s="6" t="s">
        <v>139</v>
      </c>
      <c r="B27" s="7"/>
      <c r="C27" s="7"/>
      <c r="D27" s="7">
        <v>7</v>
      </c>
      <c r="E27" s="7"/>
      <c r="F27" s="7"/>
      <c r="G27" s="7"/>
      <c r="H27" s="7">
        <f t="shared" si="0"/>
        <v>7</v>
      </c>
    </row>
    <row r="28" spans="1:8" x14ac:dyDescent="0.2">
      <c r="A28" s="6" t="s">
        <v>140</v>
      </c>
      <c r="B28" s="7"/>
      <c r="C28" s="7"/>
      <c r="D28" s="7">
        <v>7</v>
      </c>
      <c r="E28" s="7"/>
      <c r="F28" s="7"/>
      <c r="G28" s="7"/>
      <c r="H28" s="7">
        <f t="shared" si="0"/>
        <v>7</v>
      </c>
    </row>
    <row r="29" spans="1:8" x14ac:dyDescent="0.2">
      <c r="A29" s="6" t="s">
        <v>141</v>
      </c>
      <c r="B29" s="7"/>
      <c r="C29" s="7"/>
      <c r="D29" s="7">
        <v>7.5</v>
      </c>
      <c r="E29" s="7"/>
      <c r="F29" s="7"/>
      <c r="G29" s="7"/>
      <c r="H29" s="7">
        <f t="shared" si="0"/>
        <v>7.5</v>
      </c>
    </row>
    <row r="30" spans="1:8" x14ac:dyDescent="0.2">
      <c r="A30" s="6" t="s">
        <v>142</v>
      </c>
      <c r="B30" s="7"/>
      <c r="C30" s="7"/>
      <c r="D30" s="7">
        <v>5</v>
      </c>
      <c r="E30" s="7"/>
      <c r="F30" s="7"/>
      <c r="G30" s="7"/>
      <c r="H30" s="7">
        <f t="shared" si="0"/>
        <v>5</v>
      </c>
    </row>
    <row r="31" spans="1:8" x14ac:dyDescent="0.2">
      <c r="A31" s="6" t="s">
        <v>143</v>
      </c>
      <c r="B31" s="7"/>
      <c r="C31" s="7"/>
      <c r="D31" s="7">
        <v>9</v>
      </c>
      <c r="E31" s="7"/>
      <c r="F31" s="7"/>
      <c r="G31" s="7"/>
      <c r="H31" s="7">
        <f t="shared" si="0"/>
        <v>9</v>
      </c>
    </row>
    <row r="32" spans="1:8" x14ac:dyDescent="0.2">
      <c r="A32" s="6" t="s">
        <v>144</v>
      </c>
      <c r="B32" s="7"/>
      <c r="C32" s="7"/>
      <c r="D32" s="7">
        <v>9</v>
      </c>
      <c r="E32" s="7"/>
      <c r="F32" s="7"/>
      <c r="G32" s="7"/>
      <c r="H32" s="7">
        <f t="shared" si="0"/>
        <v>9</v>
      </c>
    </row>
    <row r="33" spans="1:8" x14ac:dyDescent="0.2">
      <c r="A33" s="6" t="s">
        <v>145</v>
      </c>
      <c r="B33" s="7"/>
      <c r="C33" s="7"/>
      <c r="D33" s="7">
        <v>6.6</v>
      </c>
      <c r="E33" s="7"/>
      <c r="F33" s="7"/>
      <c r="G33" s="7"/>
      <c r="H33" s="7">
        <f t="shared" si="0"/>
        <v>6.6</v>
      </c>
    </row>
    <row r="34" spans="1:8" x14ac:dyDescent="0.2">
      <c r="A34" s="6" t="s">
        <v>146</v>
      </c>
      <c r="B34" s="7"/>
      <c r="C34" s="7"/>
      <c r="D34" s="7">
        <v>1</v>
      </c>
      <c r="E34" s="7"/>
      <c r="F34" s="7"/>
      <c r="G34" s="7"/>
      <c r="H34" s="7">
        <f t="shared" si="0"/>
        <v>1</v>
      </c>
    </row>
    <row r="35" spans="1:8" x14ac:dyDescent="0.2">
      <c r="A35" s="6" t="s">
        <v>147</v>
      </c>
      <c r="B35" s="7"/>
      <c r="C35" s="7"/>
      <c r="D35" s="7">
        <v>7</v>
      </c>
      <c r="E35" s="7"/>
      <c r="F35" s="7"/>
      <c r="G35" s="7"/>
      <c r="H35" s="7">
        <f t="shared" si="0"/>
        <v>7</v>
      </c>
    </row>
    <row r="36" spans="1:8" x14ac:dyDescent="0.2">
      <c r="A36" s="6" t="s">
        <v>148</v>
      </c>
      <c r="B36" s="7"/>
      <c r="C36" s="7"/>
      <c r="D36" s="7">
        <v>7.3</v>
      </c>
      <c r="E36" s="7"/>
      <c r="F36" s="7"/>
      <c r="G36" s="7"/>
      <c r="H36" s="7">
        <f t="shared" si="0"/>
        <v>7.3</v>
      </c>
    </row>
    <row r="37" spans="1:8" x14ac:dyDescent="0.2">
      <c r="A37" s="6" t="s">
        <v>149</v>
      </c>
      <c r="B37" s="7"/>
      <c r="C37" s="7"/>
      <c r="D37" s="7">
        <v>6.9</v>
      </c>
      <c r="E37" s="7"/>
      <c r="F37" s="7"/>
      <c r="G37" s="7"/>
      <c r="H37" s="7">
        <f t="shared" si="0"/>
        <v>6.9</v>
      </c>
    </row>
    <row r="38" spans="1:8" x14ac:dyDescent="0.2">
      <c r="A38" s="6" t="s">
        <v>150</v>
      </c>
      <c r="B38" s="7"/>
      <c r="C38" s="7"/>
      <c r="D38" s="7">
        <v>7.2</v>
      </c>
      <c r="E38" s="7"/>
      <c r="F38" s="7"/>
      <c r="G38" s="7"/>
      <c r="H38" s="7">
        <f t="shared" si="0"/>
        <v>7.2</v>
      </c>
    </row>
    <row r="39" spans="1:8" x14ac:dyDescent="0.2">
      <c r="A39" s="6" t="s">
        <v>151</v>
      </c>
      <c r="B39" s="7"/>
      <c r="C39" s="7"/>
      <c r="D39" s="7">
        <v>7.4</v>
      </c>
      <c r="E39" s="7"/>
      <c r="F39" s="7"/>
      <c r="G39" s="7"/>
      <c r="H39" s="7">
        <f t="shared" si="0"/>
        <v>7.4</v>
      </c>
    </row>
    <row r="40" spans="1:8" x14ac:dyDescent="0.2">
      <c r="A40" s="6" t="s">
        <v>396</v>
      </c>
      <c r="B40" s="7"/>
      <c r="C40" s="7"/>
      <c r="D40" s="7">
        <v>7.8</v>
      </c>
      <c r="E40" s="7"/>
      <c r="F40" s="7"/>
      <c r="G40" s="7"/>
      <c r="H40" s="7">
        <f t="shared" si="0"/>
        <v>7.8</v>
      </c>
    </row>
    <row r="41" spans="1:8" x14ac:dyDescent="0.2">
      <c r="A41" s="6" t="s">
        <v>395</v>
      </c>
      <c r="B41" s="7"/>
      <c r="C41" s="7"/>
      <c r="D41" s="7">
        <v>8</v>
      </c>
      <c r="E41" s="7"/>
      <c r="F41" s="7"/>
      <c r="G41" s="7"/>
      <c r="H41" s="7">
        <f t="shared" si="0"/>
        <v>8</v>
      </c>
    </row>
    <row r="42" spans="1:8" x14ac:dyDescent="0.2">
      <c r="A42" s="6" t="s">
        <v>152</v>
      </c>
      <c r="B42" s="7"/>
      <c r="C42" s="7"/>
      <c r="D42" s="7">
        <v>8</v>
      </c>
      <c r="E42" s="7"/>
      <c r="F42" s="7"/>
      <c r="G42" s="7"/>
      <c r="H42" s="7">
        <f t="shared" si="0"/>
        <v>8</v>
      </c>
    </row>
    <row r="43" spans="1:8" x14ac:dyDescent="0.2">
      <c r="A43" s="6" t="s">
        <v>153</v>
      </c>
      <c r="B43" s="7"/>
      <c r="C43" s="7"/>
      <c r="D43" s="7">
        <v>6.8</v>
      </c>
      <c r="E43" s="7"/>
      <c r="F43" s="7"/>
      <c r="G43" s="7"/>
      <c r="H43" s="7">
        <f t="shared" si="0"/>
        <v>6.8</v>
      </c>
    </row>
    <row r="44" spans="1:8" x14ac:dyDescent="0.2">
      <c r="A44" s="6" t="s">
        <v>154</v>
      </c>
      <c r="B44" s="7"/>
      <c r="C44" s="7"/>
      <c r="D44" s="7">
        <v>1</v>
      </c>
      <c r="E44" s="7"/>
      <c r="F44" s="7"/>
      <c r="G44" s="7"/>
      <c r="H44" s="7">
        <f t="shared" si="0"/>
        <v>1</v>
      </c>
    </row>
    <row r="45" spans="1:8" x14ac:dyDescent="0.2">
      <c r="A45" s="6" t="s">
        <v>155</v>
      </c>
      <c r="B45" s="7"/>
      <c r="C45" s="7"/>
      <c r="D45" s="7">
        <v>6.1</v>
      </c>
      <c r="E45" s="7"/>
      <c r="F45" s="7"/>
      <c r="G45" s="7"/>
      <c r="H45" s="7">
        <f t="shared" si="0"/>
        <v>6.1</v>
      </c>
    </row>
    <row r="46" spans="1:8" x14ac:dyDescent="0.2">
      <c r="A46" s="6" t="s">
        <v>156</v>
      </c>
      <c r="B46" s="7"/>
      <c r="C46" s="7"/>
      <c r="D46" s="7">
        <v>6.8</v>
      </c>
      <c r="E46" s="7"/>
      <c r="F46" s="7"/>
      <c r="G46" s="7"/>
      <c r="H46" s="7">
        <f t="shared" si="0"/>
        <v>6.8</v>
      </c>
    </row>
    <row r="47" spans="1:8" x14ac:dyDescent="0.2">
      <c r="A47" s="6" t="s">
        <v>157</v>
      </c>
      <c r="B47" s="7"/>
      <c r="C47" s="7"/>
      <c r="D47" s="7">
        <v>1</v>
      </c>
      <c r="E47" s="7"/>
      <c r="F47" s="7"/>
      <c r="G47" s="7"/>
      <c r="H47" s="7">
        <f t="shared" si="0"/>
        <v>1</v>
      </c>
    </row>
    <row r="48" spans="1:8" x14ac:dyDescent="0.2">
      <c r="A48" s="6" t="s">
        <v>158</v>
      </c>
      <c r="B48" s="7"/>
      <c r="C48" s="7"/>
      <c r="D48" s="7">
        <v>1</v>
      </c>
      <c r="E48" s="7"/>
      <c r="F48" s="7"/>
      <c r="G48" s="7"/>
      <c r="H48" s="7">
        <f t="shared" si="0"/>
        <v>1</v>
      </c>
    </row>
    <row r="49" spans="1:8" x14ac:dyDescent="0.2">
      <c r="A49" s="6" t="s">
        <v>159</v>
      </c>
      <c r="B49" s="7"/>
      <c r="C49" s="7"/>
      <c r="D49" s="7">
        <v>19.3</v>
      </c>
      <c r="E49" s="7"/>
      <c r="F49" s="7"/>
      <c r="G49" s="7"/>
      <c r="H49" s="7">
        <f t="shared" si="0"/>
        <v>19.3</v>
      </c>
    </row>
    <row r="50" spans="1:8" x14ac:dyDescent="0.2">
      <c r="A50" s="6" t="s">
        <v>160</v>
      </c>
      <c r="B50" s="7"/>
      <c r="C50" s="7"/>
      <c r="D50" s="7">
        <v>5</v>
      </c>
      <c r="E50" s="7"/>
      <c r="F50" s="7"/>
      <c r="G50" s="7"/>
      <c r="H50" s="7">
        <f t="shared" si="0"/>
        <v>5</v>
      </c>
    </row>
    <row r="51" spans="1:8" x14ac:dyDescent="0.2">
      <c r="A51" s="6" t="s">
        <v>161</v>
      </c>
      <c r="B51" s="7"/>
      <c r="C51" s="7"/>
      <c r="D51" s="7">
        <v>5</v>
      </c>
      <c r="E51" s="7"/>
      <c r="F51" s="7"/>
      <c r="G51" s="7"/>
      <c r="H51" s="7">
        <f t="shared" si="0"/>
        <v>5</v>
      </c>
    </row>
    <row r="52" spans="1:8" x14ac:dyDescent="0.2">
      <c r="A52" s="6" t="s">
        <v>162</v>
      </c>
      <c r="B52" s="7"/>
      <c r="C52" s="7"/>
      <c r="D52" s="7">
        <v>12</v>
      </c>
      <c r="E52" s="7"/>
      <c r="F52" s="7"/>
      <c r="G52" s="7"/>
      <c r="H52" s="7">
        <f t="shared" si="0"/>
        <v>12</v>
      </c>
    </row>
    <row r="53" spans="1:8" x14ac:dyDescent="0.2">
      <c r="A53" s="6" t="s">
        <v>163</v>
      </c>
      <c r="B53" s="7"/>
      <c r="C53" s="7"/>
      <c r="D53" s="7">
        <v>2.2000000000000002</v>
      </c>
      <c r="E53" s="7"/>
      <c r="F53" s="7"/>
      <c r="G53" s="7"/>
      <c r="H53" s="7">
        <f t="shared" si="0"/>
        <v>2.2000000000000002</v>
      </c>
    </row>
    <row r="54" spans="1:8" x14ac:dyDescent="0.2">
      <c r="A54" s="6" t="s">
        <v>164</v>
      </c>
      <c r="B54" s="7"/>
      <c r="C54" s="7"/>
      <c r="D54" s="7">
        <v>6.6</v>
      </c>
      <c r="E54" s="7"/>
      <c r="F54" s="7"/>
      <c r="G54" s="7"/>
      <c r="H54" s="7">
        <f t="shared" si="0"/>
        <v>6.6</v>
      </c>
    </row>
    <row r="55" spans="1:8" x14ac:dyDescent="0.2">
      <c r="A55" s="6" t="s">
        <v>165</v>
      </c>
      <c r="B55" s="7"/>
      <c r="C55" s="7"/>
      <c r="D55" s="7">
        <v>4.3</v>
      </c>
      <c r="E55" s="7"/>
      <c r="F55" s="7"/>
      <c r="G55" s="7"/>
      <c r="H55" s="7">
        <f t="shared" si="0"/>
        <v>4.3</v>
      </c>
    </row>
    <row r="56" spans="1:8" x14ac:dyDescent="0.2">
      <c r="A56" s="6" t="s">
        <v>166</v>
      </c>
      <c r="B56" s="7"/>
      <c r="C56" s="7"/>
      <c r="D56" s="7">
        <v>6.5</v>
      </c>
      <c r="E56" s="7"/>
      <c r="F56" s="7"/>
      <c r="G56" s="7"/>
      <c r="H56" s="7">
        <f t="shared" si="0"/>
        <v>6.5</v>
      </c>
    </row>
    <row r="57" spans="1:8" x14ac:dyDescent="0.2">
      <c r="A57" s="6" t="s">
        <v>167</v>
      </c>
      <c r="B57" s="7"/>
      <c r="C57" s="7"/>
      <c r="D57" s="7">
        <v>6.5</v>
      </c>
      <c r="E57" s="7"/>
      <c r="F57" s="7"/>
      <c r="G57" s="7"/>
      <c r="H57" s="7">
        <f t="shared" si="0"/>
        <v>6.5</v>
      </c>
    </row>
    <row r="58" spans="1:8" x14ac:dyDescent="0.2">
      <c r="A58" s="6" t="s">
        <v>168</v>
      </c>
      <c r="B58" s="7"/>
      <c r="C58" s="7"/>
      <c r="D58" s="7">
        <v>6.7</v>
      </c>
      <c r="E58" s="7"/>
      <c r="F58" s="7"/>
      <c r="G58" s="7"/>
      <c r="H58" s="7">
        <f t="shared" si="0"/>
        <v>6.7</v>
      </c>
    </row>
    <row r="59" spans="1:8" x14ac:dyDescent="0.2">
      <c r="A59" s="6" t="s">
        <v>169</v>
      </c>
      <c r="B59" s="7"/>
      <c r="C59" s="7"/>
      <c r="D59" s="7">
        <v>3.6</v>
      </c>
      <c r="E59" s="7"/>
      <c r="F59" s="7"/>
      <c r="G59" s="7"/>
      <c r="H59" s="7">
        <f t="shared" si="0"/>
        <v>3.6</v>
      </c>
    </row>
    <row r="60" spans="1:8" x14ac:dyDescent="0.2">
      <c r="A60" s="6" t="s">
        <v>170</v>
      </c>
      <c r="B60" s="7"/>
      <c r="C60" s="7"/>
      <c r="D60" s="7">
        <v>5.9</v>
      </c>
      <c r="E60" s="7"/>
      <c r="F60" s="7"/>
      <c r="G60" s="7"/>
      <c r="H60" s="7">
        <f t="shared" si="0"/>
        <v>5.9</v>
      </c>
    </row>
    <row r="61" spans="1:8" x14ac:dyDescent="0.2">
      <c r="A61" s="6" t="s">
        <v>171</v>
      </c>
      <c r="B61" s="7"/>
      <c r="C61" s="7"/>
      <c r="D61" s="7">
        <v>3.4</v>
      </c>
      <c r="E61" s="7"/>
      <c r="F61" s="7"/>
      <c r="G61" s="7"/>
      <c r="H61" s="7">
        <f t="shared" si="0"/>
        <v>3.4</v>
      </c>
    </row>
    <row r="62" spans="1:8" x14ac:dyDescent="0.2">
      <c r="A62" s="6" t="s">
        <v>172</v>
      </c>
      <c r="B62" s="7"/>
      <c r="C62" s="7"/>
      <c r="D62" s="7">
        <v>4.4000000000000004</v>
      </c>
      <c r="E62" s="7"/>
      <c r="F62" s="7"/>
      <c r="G62" s="7"/>
      <c r="H62" s="7">
        <f t="shared" si="0"/>
        <v>4.4000000000000004</v>
      </c>
    </row>
    <row r="63" spans="1:8" x14ac:dyDescent="0.2">
      <c r="A63" s="6" t="s">
        <v>173</v>
      </c>
      <c r="B63" s="7"/>
      <c r="C63" s="7"/>
      <c r="D63" s="7">
        <v>6.6</v>
      </c>
      <c r="E63" s="7"/>
      <c r="F63" s="7"/>
      <c r="G63" s="7"/>
      <c r="H63" s="7">
        <f t="shared" si="0"/>
        <v>6.6</v>
      </c>
    </row>
    <row r="64" spans="1:8" x14ac:dyDescent="0.2">
      <c r="A64" s="6" t="s">
        <v>174</v>
      </c>
      <c r="B64" s="7"/>
      <c r="C64" s="7"/>
      <c r="D64" s="7">
        <v>4.8</v>
      </c>
      <c r="E64" s="7"/>
      <c r="F64" s="7"/>
      <c r="G64" s="7"/>
      <c r="H64" s="7">
        <f t="shared" si="0"/>
        <v>4.8</v>
      </c>
    </row>
    <row r="65" spans="1:8" x14ac:dyDescent="0.2">
      <c r="A65" s="6" t="s">
        <v>175</v>
      </c>
      <c r="B65" s="7"/>
      <c r="C65" s="7"/>
      <c r="D65" s="7">
        <v>8.5</v>
      </c>
      <c r="E65" s="7"/>
      <c r="F65" s="7"/>
      <c r="G65" s="7"/>
      <c r="H65" s="7">
        <f t="shared" si="0"/>
        <v>8.5</v>
      </c>
    </row>
    <row r="66" spans="1:8" x14ac:dyDescent="0.2">
      <c r="A66" s="6" t="s">
        <v>177</v>
      </c>
      <c r="B66" s="7"/>
      <c r="C66" s="7"/>
      <c r="D66" s="7">
        <v>3.2</v>
      </c>
      <c r="E66" s="7"/>
      <c r="F66" s="7"/>
      <c r="G66" s="7"/>
      <c r="H66" s="7">
        <f t="shared" si="0"/>
        <v>3.2</v>
      </c>
    </row>
    <row r="67" spans="1:8" x14ac:dyDescent="0.2">
      <c r="A67" s="6" t="s">
        <v>176</v>
      </c>
      <c r="B67" s="7"/>
      <c r="C67" s="7"/>
      <c r="D67" s="7">
        <v>6.7</v>
      </c>
      <c r="E67" s="7"/>
      <c r="F67" s="7"/>
      <c r="G67" s="7"/>
      <c r="H67" s="7">
        <f t="shared" ref="H67:H101" si="1">+B67*C67+D67+E67+F67+G67</f>
        <v>6.7</v>
      </c>
    </row>
    <row r="68" spans="1:8" x14ac:dyDescent="0.2">
      <c r="A68" s="6" t="s">
        <v>178</v>
      </c>
      <c r="B68" s="7"/>
      <c r="C68" s="7"/>
      <c r="D68" s="7">
        <v>6.8</v>
      </c>
      <c r="E68" s="7"/>
      <c r="F68" s="7"/>
      <c r="G68" s="7"/>
      <c r="H68" s="7">
        <f t="shared" si="1"/>
        <v>6.8</v>
      </c>
    </row>
    <row r="69" spans="1:8" x14ac:dyDescent="0.2">
      <c r="A69" s="6" t="s">
        <v>179</v>
      </c>
      <c r="B69" s="7"/>
      <c r="C69" s="7"/>
      <c r="D69" s="7">
        <v>7</v>
      </c>
      <c r="E69" s="7"/>
      <c r="F69" s="7"/>
      <c r="G69" s="7"/>
      <c r="H69" s="7">
        <f t="shared" si="1"/>
        <v>7</v>
      </c>
    </row>
    <row r="70" spans="1:8" x14ac:dyDescent="0.2">
      <c r="A70" s="6" t="s">
        <v>180</v>
      </c>
      <c r="B70" s="7"/>
      <c r="C70" s="7"/>
      <c r="D70" s="7">
        <v>6.7</v>
      </c>
      <c r="E70" s="7"/>
      <c r="F70" s="7"/>
      <c r="G70" s="7"/>
      <c r="H70" s="7">
        <f t="shared" si="1"/>
        <v>6.7</v>
      </c>
    </row>
    <row r="71" spans="1:8" x14ac:dyDescent="0.2">
      <c r="A71" s="6" t="s">
        <v>181</v>
      </c>
      <c r="B71" s="7"/>
      <c r="C71" s="7"/>
      <c r="D71" s="7">
        <v>9</v>
      </c>
      <c r="E71" s="7"/>
      <c r="F71" s="7"/>
      <c r="G71" s="7"/>
      <c r="H71" s="7">
        <f t="shared" si="1"/>
        <v>9</v>
      </c>
    </row>
    <row r="72" spans="1:8" x14ac:dyDescent="0.2">
      <c r="A72" s="6" t="s">
        <v>182</v>
      </c>
      <c r="B72" s="7"/>
      <c r="C72" s="7"/>
      <c r="D72" s="7">
        <v>6.5</v>
      </c>
      <c r="E72" s="7"/>
      <c r="F72" s="7"/>
      <c r="G72" s="7"/>
      <c r="H72" s="7">
        <f t="shared" si="1"/>
        <v>6.5</v>
      </c>
    </row>
    <row r="73" spans="1:8" x14ac:dyDescent="0.2">
      <c r="A73" s="6" t="s">
        <v>183</v>
      </c>
      <c r="B73" s="7"/>
      <c r="C73" s="7"/>
      <c r="D73" s="7">
        <v>8</v>
      </c>
      <c r="E73" s="7"/>
      <c r="F73" s="7"/>
      <c r="G73" s="7"/>
      <c r="H73" s="7">
        <f t="shared" si="1"/>
        <v>8</v>
      </c>
    </row>
    <row r="74" spans="1:8" x14ac:dyDescent="0.2">
      <c r="A74" s="6" t="s">
        <v>184</v>
      </c>
      <c r="B74" s="7"/>
      <c r="C74" s="7"/>
      <c r="D74" s="7">
        <v>6.4</v>
      </c>
      <c r="E74" s="7"/>
      <c r="F74" s="7"/>
      <c r="G74" s="7"/>
      <c r="H74" s="7">
        <f t="shared" si="1"/>
        <v>6.4</v>
      </c>
    </row>
    <row r="75" spans="1:8" x14ac:dyDescent="0.2">
      <c r="A75" s="6" t="s">
        <v>185</v>
      </c>
      <c r="B75" s="7"/>
      <c r="C75" s="7"/>
      <c r="D75" s="7">
        <v>6.8</v>
      </c>
      <c r="E75" s="7"/>
      <c r="F75" s="7"/>
      <c r="G75" s="7"/>
      <c r="H75" s="7">
        <f t="shared" si="1"/>
        <v>6.8</v>
      </c>
    </row>
    <row r="76" spans="1:8" x14ac:dyDescent="0.2">
      <c r="A76" s="6" t="s">
        <v>186</v>
      </c>
      <c r="B76" s="7"/>
      <c r="C76" s="7"/>
      <c r="D76" s="7">
        <v>4.2</v>
      </c>
      <c r="E76" s="7"/>
      <c r="F76" s="7"/>
      <c r="G76" s="7"/>
      <c r="H76" s="7">
        <f t="shared" si="1"/>
        <v>4.2</v>
      </c>
    </row>
    <row r="77" spans="1:8" x14ac:dyDescent="0.2">
      <c r="A77" s="6" t="s">
        <v>187</v>
      </c>
      <c r="B77" s="7"/>
      <c r="C77" s="7"/>
      <c r="D77" s="7">
        <v>6.8</v>
      </c>
      <c r="E77" s="7"/>
      <c r="F77" s="7"/>
      <c r="G77" s="7"/>
      <c r="H77" s="7">
        <f t="shared" si="1"/>
        <v>6.8</v>
      </c>
    </row>
    <row r="78" spans="1:8" x14ac:dyDescent="0.2">
      <c r="A78" s="6" t="s">
        <v>188</v>
      </c>
      <c r="B78" s="7"/>
      <c r="C78" s="7"/>
      <c r="D78" s="7">
        <v>6.8</v>
      </c>
      <c r="E78" s="7"/>
      <c r="F78" s="7"/>
      <c r="G78" s="7"/>
      <c r="H78" s="7">
        <f t="shared" si="1"/>
        <v>6.8</v>
      </c>
    </row>
    <row r="79" spans="1:8" x14ac:dyDescent="0.2">
      <c r="A79" s="6" t="s">
        <v>189</v>
      </c>
      <c r="B79" s="7"/>
      <c r="C79" s="7"/>
      <c r="D79" s="7">
        <v>6.8</v>
      </c>
      <c r="E79" s="7"/>
      <c r="F79" s="7"/>
      <c r="G79" s="7"/>
      <c r="H79" s="7">
        <f t="shared" si="1"/>
        <v>6.8</v>
      </c>
    </row>
    <row r="80" spans="1:8" x14ac:dyDescent="0.2">
      <c r="A80" s="6" t="s">
        <v>190</v>
      </c>
      <c r="B80" s="7"/>
      <c r="C80" s="7"/>
      <c r="D80" s="7">
        <v>4.4000000000000004</v>
      </c>
      <c r="E80" s="7"/>
      <c r="F80" s="7"/>
      <c r="G80" s="7"/>
      <c r="H80" s="7">
        <f t="shared" si="1"/>
        <v>4.4000000000000004</v>
      </c>
    </row>
    <row r="81" spans="1:8" x14ac:dyDescent="0.2">
      <c r="A81" s="6" t="s">
        <v>191</v>
      </c>
      <c r="B81" s="7"/>
      <c r="C81" s="7"/>
      <c r="D81" s="7">
        <v>10.4</v>
      </c>
      <c r="E81" s="7"/>
      <c r="F81" s="7"/>
      <c r="G81" s="7"/>
      <c r="H81" s="7">
        <f t="shared" si="1"/>
        <v>10.4</v>
      </c>
    </row>
    <row r="82" spans="1:8" x14ac:dyDescent="0.2">
      <c r="A82" s="6" t="s">
        <v>192</v>
      </c>
      <c r="B82" s="7"/>
      <c r="C82" s="7"/>
      <c r="D82" s="7">
        <v>11.1</v>
      </c>
      <c r="E82" s="7"/>
      <c r="F82" s="7"/>
      <c r="G82" s="7"/>
      <c r="H82" s="7">
        <f t="shared" si="1"/>
        <v>11.1</v>
      </c>
    </row>
    <row r="83" spans="1:8" x14ac:dyDescent="0.2">
      <c r="A83" s="6" t="s">
        <v>193</v>
      </c>
      <c r="B83" s="7"/>
      <c r="C83" s="7"/>
      <c r="D83" s="7">
        <v>7</v>
      </c>
      <c r="E83" s="7"/>
      <c r="F83" s="7"/>
      <c r="G83" s="7"/>
      <c r="H83" s="7">
        <f t="shared" si="1"/>
        <v>7</v>
      </c>
    </row>
    <row r="84" spans="1:8" x14ac:dyDescent="0.2">
      <c r="A84" s="6" t="s">
        <v>194</v>
      </c>
      <c r="B84" s="7"/>
      <c r="C84" s="7"/>
      <c r="D84" s="7">
        <v>1</v>
      </c>
      <c r="E84" s="7"/>
      <c r="F84" s="7"/>
      <c r="G84" s="7"/>
      <c r="H84" s="7">
        <f t="shared" si="1"/>
        <v>1</v>
      </c>
    </row>
    <row r="85" spans="1:8" x14ac:dyDescent="0.2">
      <c r="A85" s="6" t="s">
        <v>195</v>
      </c>
      <c r="B85" s="7"/>
      <c r="C85" s="7"/>
      <c r="D85" s="7">
        <v>7.7</v>
      </c>
      <c r="E85" s="7"/>
      <c r="F85" s="7"/>
      <c r="G85" s="7"/>
      <c r="H85" s="7">
        <f t="shared" si="1"/>
        <v>7.7</v>
      </c>
    </row>
    <row r="86" spans="1:8" x14ac:dyDescent="0.2">
      <c r="A86" s="6" t="s">
        <v>196</v>
      </c>
      <c r="B86" s="7"/>
      <c r="C86" s="7"/>
      <c r="D86" s="7">
        <v>10</v>
      </c>
      <c r="E86" s="7"/>
      <c r="F86" s="7"/>
      <c r="G86" s="7"/>
      <c r="H86" s="7">
        <f t="shared" si="1"/>
        <v>10</v>
      </c>
    </row>
    <row r="87" spans="1:8" x14ac:dyDescent="0.2">
      <c r="A87" s="6" t="s">
        <v>197</v>
      </c>
      <c r="B87" s="7"/>
      <c r="C87" s="7"/>
      <c r="D87" s="7">
        <v>6.5</v>
      </c>
      <c r="E87" s="7"/>
      <c r="F87" s="7"/>
      <c r="G87" s="7"/>
      <c r="H87" s="7">
        <f t="shared" si="1"/>
        <v>6.5</v>
      </c>
    </row>
    <row r="88" spans="1:8" x14ac:dyDescent="0.2">
      <c r="A88" s="6" t="s">
        <v>198</v>
      </c>
      <c r="B88" s="7"/>
      <c r="C88" s="7"/>
      <c r="D88" s="7">
        <v>8.1</v>
      </c>
      <c r="E88" s="7"/>
      <c r="F88" s="7"/>
      <c r="G88" s="7"/>
      <c r="H88" s="7">
        <f t="shared" si="1"/>
        <v>8.1</v>
      </c>
    </row>
    <row r="89" spans="1:8" x14ac:dyDescent="0.2">
      <c r="A89" s="6" t="s">
        <v>199</v>
      </c>
      <c r="B89" s="7"/>
      <c r="C89" s="7"/>
      <c r="D89" s="7">
        <v>11.4</v>
      </c>
      <c r="E89" s="7"/>
      <c r="F89" s="7"/>
      <c r="G89" s="7"/>
      <c r="H89" s="7">
        <f t="shared" si="1"/>
        <v>11.4</v>
      </c>
    </row>
    <row r="90" spans="1:8" x14ac:dyDescent="0.2">
      <c r="A90" s="6" t="s">
        <v>200</v>
      </c>
      <c r="B90" s="7"/>
      <c r="C90" s="7"/>
      <c r="D90" s="7">
        <v>3.4</v>
      </c>
      <c r="E90" s="7"/>
      <c r="F90" s="7"/>
      <c r="G90" s="7"/>
      <c r="H90" s="7">
        <f t="shared" si="1"/>
        <v>3.4</v>
      </c>
    </row>
    <row r="91" spans="1:8" x14ac:dyDescent="0.2">
      <c r="A91" s="6" t="s">
        <v>201</v>
      </c>
      <c r="B91" s="7"/>
      <c r="C91" s="7"/>
      <c r="D91" s="7">
        <v>10.5</v>
      </c>
      <c r="E91" s="7"/>
      <c r="F91" s="7"/>
      <c r="G91" s="7"/>
      <c r="H91" s="7">
        <f t="shared" si="1"/>
        <v>10.5</v>
      </c>
    </row>
    <row r="92" spans="1:8" x14ac:dyDescent="0.2">
      <c r="A92" s="6" t="s">
        <v>202</v>
      </c>
      <c r="B92" s="7"/>
      <c r="C92" s="7"/>
      <c r="D92" s="7">
        <v>6</v>
      </c>
      <c r="E92" s="7"/>
      <c r="F92" s="7"/>
      <c r="G92" s="7"/>
      <c r="H92" s="7">
        <f t="shared" si="1"/>
        <v>6</v>
      </c>
    </row>
    <row r="93" spans="1:8" x14ac:dyDescent="0.2">
      <c r="A93" s="6" t="s">
        <v>203</v>
      </c>
      <c r="B93" s="7"/>
      <c r="C93" s="7"/>
      <c r="D93" s="7">
        <v>6.9</v>
      </c>
      <c r="E93" s="7"/>
      <c r="F93" s="7"/>
      <c r="G93" s="7"/>
      <c r="H93" s="7">
        <f t="shared" si="1"/>
        <v>6.9</v>
      </c>
    </row>
    <row r="94" spans="1:8" x14ac:dyDescent="0.2">
      <c r="A94" s="6" t="s">
        <v>204</v>
      </c>
      <c r="B94" s="7"/>
      <c r="C94" s="7"/>
      <c r="D94" s="7">
        <v>4.4000000000000004</v>
      </c>
      <c r="E94" s="7"/>
      <c r="F94" s="7"/>
      <c r="G94" s="7"/>
      <c r="H94" s="7">
        <f t="shared" si="1"/>
        <v>4.4000000000000004</v>
      </c>
    </row>
    <row r="95" spans="1:8" x14ac:dyDescent="0.2">
      <c r="A95" s="6" t="s">
        <v>397</v>
      </c>
      <c r="B95" s="7"/>
      <c r="C95" s="7"/>
      <c r="D95" s="7">
        <v>3</v>
      </c>
      <c r="E95" s="7"/>
      <c r="F95" s="7"/>
      <c r="G95" s="7"/>
      <c r="H95" s="7">
        <f t="shared" si="1"/>
        <v>3</v>
      </c>
    </row>
    <row r="96" spans="1:8" x14ac:dyDescent="0.2">
      <c r="A96" s="6" t="s">
        <v>205</v>
      </c>
      <c r="B96" s="7"/>
      <c r="C96" s="7"/>
      <c r="D96" s="7"/>
      <c r="E96" s="7"/>
      <c r="F96" s="7"/>
      <c r="G96" s="7"/>
      <c r="H96" s="7">
        <f t="shared" si="1"/>
        <v>0</v>
      </c>
    </row>
    <row r="97" spans="1:8" x14ac:dyDescent="0.2">
      <c r="A97" s="6" t="s">
        <v>206</v>
      </c>
      <c r="B97" s="7"/>
      <c r="C97" s="7"/>
      <c r="D97" s="7"/>
      <c r="E97" s="7"/>
      <c r="F97" s="7"/>
      <c r="G97" s="7"/>
      <c r="H97" s="7">
        <f t="shared" si="1"/>
        <v>0</v>
      </c>
    </row>
    <row r="98" spans="1:8" x14ac:dyDescent="0.2">
      <c r="A98" s="6" t="s">
        <v>207</v>
      </c>
      <c r="B98" s="7"/>
      <c r="C98" s="7"/>
      <c r="D98" s="7"/>
      <c r="E98" s="7"/>
      <c r="F98" s="7"/>
      <c r="G98" s="7"/>
      <c r="H98" s="7">
        <f t="shared" si="1"/>
        <v>0</v>
      </c>
    </row>
    <row r="99" spans="1:8" x14ac:dyDescent="0.2">
      <c r="A99" s="6" t="s">
        <v>208</v>
      </c>
      <c r="B99" s="7"/>
      <c r="C99" s="7"/>
      <c r="D99" s="7"/>
      <c r="E99" s="7"/>
      <c r="F99" s="7"/>
      <c r="G99" s="7"/>
      <c r="H99" s="7">
        <f t="shared" si="1"/>
        <v>0</v>
      </c>
    </row>
    <row r="100" spans="1:8" x14ac:dyDescent="0.2">
      <c r="A100" s="6" t="s">
        <v>209</v>
      </c>
      <c r="B100" s="7"/>
      <c r="C100" s="7"/>
      <c r="D100" s="7"/>
      <c r="E100" s="7"/>
      <c r="F100" s="7"/>
      <c r="G100" s="7"/>
      <c r="H100" s="7">
        <f t="shared" si="1"/>
        <v>0</v>
      </c>
    </row>
    <row r="101" spans="1:8" x14ac:dyDescent="0.2">
      <c r="A101" s="6" t="s">
        <v>210</v>
      </c>
      <c r="B101" s="7"/>
      <c r="C101" s="7"/>
      <c r="D101" s="7"/>
      <c r="E101" s="7"/>
      <c r="F101" s="7"/>
      <c r="G101" s="7"/>
      <c r="H101" s="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CB9B-641E-8D49-87FA-B9DC0DFC81C3}">
  <dimension ref="A1:I90"/>
  <sheetViews>
    <sheetView workbookViewId="0">
      <selection activeCell="A2" sqref="A2:I16"/>
    </sheetView>
  </sheetViews>
  <sheetFormatPr baseColWidth="10" defaultRowHeight="16" x14ac:dyDescent="0.2"/>
  <cols>
    <col min="1" max="1" width="9.83203125" bestFit="1" customWidth="1"/>
    <col min="2" max="2" width="8.33203125" customWidth="1"/>
    <col min="3" max="3" width="14.1640625" bestFit="1" customWidth="1"/>
    <col min="4" max="6" width="12.83203125" bestFit="1" customWidth="1"/>
    <col min="7" max="7" width="12.83203125" customWidth="1"/>
    <col min="8" max="8" width="12.83203125" bestFit="1" customWidth="1"/>
    <col min="9" max="9" width="14.1640625" bestFit="1" customWidth="1"/>
  </cols>
  <sheetData>
    <row r="1" spans="1:9" x14ac:dyDescent="0.2">
      <c r="A1" s="4" t="s">
        <v>5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4" t="s">
        <v>3</v>
      </c>
      <c r="I1" s="5" t="s">
        <v>4</v>
      </c>
    </row>
    <row r="2" spans="1:9" x14ac:dyDescent="0.2">
      <c r="A2" s="6" t="s">
        <v>409</v>
      </c>
      <c r="B2" s="7"/>
      <c r="C2" s="7"/>
      <c r="D2" s="7">
        <v>22</v>
      </c>
      <c r="E2" s="7"/>
      <c r="F2" s="7"/>
      <c r="G2" s="7"/>
      <c r="H2" s="7">
        <v>3</v>
      </c>
      <c r="I2" s="7">
        <f>+B2*C2+D2+E2+F2+H2+G2</f>
        <v>25</v>
      </c>
    </row>
    <row r="3" spans="1:9" x14ac:dyDescent="0.2">
      <c r="A3" s="6" t="s">
        <v>410</v>
      </c>
      <c r="B3" s="7"/>
      <c r="C3" s="7"/>
      <c r="D3" s="7">
        <v>5.5</v>
      </c>
      <c r="E3" s="7">
        <v>16</v>
      </c>
      <c r="F3" s="7"/>
      <c r="G3" s="7"/>
      <c r="H3" s="7">
        <v>3</v>
      </c>
      <c r="I3" s="7">
        <f t="shared" ref="I3:I55" si="0">+B3*C3+D3+E3+F3+H3+G3</f>
        <v>24.5</v>
      </c>
    </row>
    <row r="4" spans="1:9" x14ac:dyDescent="0.2">
      <c r="A4" s="6" t="s">
        <v>471</v>
      </c>
      <c r="B4" s="7"/>
      <c r="C4" s="7"/>
      <c r="D4" s="7">
        <v>5.0999999999999996</v>
      </c>
      <c r="E4" s="7"/>
      <c r="F4" s="7"/>
      <c r="G4" s="7"/>
      <c r="H4" s="7"/>
      <c r="I4" s="7">
        <f t="shared" si="0"/>
        <v>5.0999999999999996</v>
      </c>
    </row>
    <row r="5" spans="1:9" x14ac:dyDescent="0.2">
      <c r="A5" s="6" t="s">
        <v>411</v>
      </c>
      <c r="B5" s="7"/>
      <c r="C5" s="7"/>
      <c r="D5" s="7">
        <v>21</v>
      </c>
      <c r="E5" s="7"/>
      <c r="F5" s="7"/>
      <c r="G5" s="7"/>
      <c r="H5" s="7">
        <v>3</v>
      </c>
      <c r="I5" s="7">
        <f t="shared" si="0"/>
        <v>24</v>
      </c>
    </row>
    <row r="6" spans="1:9" x14ac:dyDescent="0.2">
      <c r="A6" s="6" t="s">
        <v>413</v>
      </c>
      <c r="B6" s="7"/>
      <c r="C6" s="7"/>
      <c r="D6" s="7">
        <v>20</v>
      </c>
      <c r="E6" s="7">
        <v>4.25</v>
      </c>
      <c r="F6" s="7">
        <v>3.5</v>
      </c>
      <c r="G6" s="7">
        <v>3.5</v>
      </c>
      <c r="H6" s="7">
        <v>3</v>
      </c>
      <c r="I6" s="7">
        <f t="shared" si="0"/>
        <v>34.25</v>
      </c>
    </row>
    <row r="7" spans="1:9" x14ac:dyDescent="0.2">
      <c r="A7" s="6" t="s">
        <v>412</v>
      </c>
      <c r="B7" s="7"/>
      <c r="C7" s="7"/>
      <c r="D7" s="7">
        <v>8</v>
      </c>
      <c r="E7" s="7"/>
      <c r="F7" s="7"/>
      <c r="G7" s="7"/>
      <c r="H7" s="7">
        <v>3</v>
      </c>
      <c r="I7" s="7">
        <f t="shared" si="0"/>
        <v>11</v>
      </c>
    </row>
    <row r="8" spans="1:9" x14ac:dyDescent="0.2">
      <c r="A8" s="6" t="s">
        <v>414</v>
      </c>
      <c r="B8" s="7"/>
      <c r="C8" s="7"/>
      <c r="D8" s="7">
        <v>23.9</v>
      </c>
      <c r="E8" s="7"/>
      <c r="F8" s="7"/>
      <c r="G8" s="7"/>
      <c r="H8" s="7">
        <v>3</v>
      </c>
      <c r="I8" s="7">
        <f t="shared" si="0"/>
        <v>26.9</v>
      </c>
    </row>
    <row r="9" spans="1:9" x14ac:dyDescent="0.2">
      <c r="A9" s="6" t="s">
        <v>415</v>
      </c>
      <c r="B9" s="7"/>
      <c r="C9" s="7"/>
      <c r="D9" s="7">
        <v>22.6</v>
      </c>
      <c r="E9" s="7"/>
      <c r="F9" s="7"/>
      <c r="G9" s="7"/>
      <c r="H9" s="7">
        <v>3</v>
      </c>
      <c r="I9" s="7">
        <f t="shared" si="0"/>
        <v>25.6</v>
      </c>
    </row>
    <row r="10" spans="1:9" x14ac:dyDescent="0.2">
      <c r="A10" s="6" t="s">
        <v>416</v>
      </c>
      <c r="B10" s="7"/>
      <c r="C10" s="7"/>
      <c r="D10" s="7">
        <v>7.3</v>
      </c>
      <c r="E10" s="7">
        <v>2.6</v>
      </c>
      <c r="F10" s="7"/>
      <c r="G10" s="7"/>
      <c r="H10" s="7">
        <v>3</v>
      </c>
      <c r="I10" s="7">
        <f t="shared" si="0"/>
        <v>12.9</v>
      </c>
    </row>
    <row r="11" spans="1:9" x14ac:dyDescent="0.2">
      <c r="A11" s="6" t="s">
        <v>417</v>
      </c>
      <c r="B11" s="7"/>
      <c r="C11" s="7"/>
      <c r="D11" s="7">
        <v>3.2</v>
      </c>
      <c r="E11" s="7"/>
      <c r="F11" s="7"/>
      <c r="G11" s="7"/>
      <c r="H11" s="18">
        <v>3</v>
      </c>
      <c r="I11" s="7">
        <f t="shared" si="0"/>
        <v>6.2</v>
      </c>
    </row>
    <row r="12" spans="1:9" x14ac:dyDescent="0.2">
      <c r="A12" s="6" t="s">
        <v>418</v>
      </c>
      <c r="B12" s="7"/>
      <c r="C12" s="7"/>
      <c r="D12" s="7">
        <v>17</v>
      </c>
      <c r="E12" s="7"/>
      <c r="F12" s="7"/>
      <c r="G12" s="7"/>
      <c r="H12" s="7">
        <v>3</v>
      </c>
      <c r="I12" s="7">
        <f t="shared" si="0"/>
        <v>20</v>
      </c>
    </row>
    <row r="13" spans="1:9" x14ac:dyDescent="0.2">
      <c r="A13" s="6" t="s">
        <v>419</v>
      </c>
      <c r="B13" s="7"/>
      <c r="C13" s="7"/>
      <c r="D13" s="7">
        <v>26</v>
      </c>
      <c r="E13" s="7">
        <v>16</v>
      </c>
      <c r="F13" s="7"/>
      <c r="G13" s="7"/>
      <c r="H13" s="7">
        <v>3</v>
      </c>
      <c r="I13" s="7">
        <f t="shared" si="0"/>
        <v>45</v>
      </c>
    </row>
    <row r="14" spans="1:9" x14ac:dyDescent="0.2">
      <c r="A14" s="6" t="s">
        <v>420</v>
      </c>
      <c r="B14" s="7"/>
      <c r="C14" s="7"/>
      <c r="D14" s="7">
        <v>13</v>
      </c>
      <c r="E14" s="7"/>
      <c r="F14" s="7"/>
      <c r="G14" s="7"/>
      <c r="H14" s="7">
        <v>3</v>
      </c>
      <c r="I14" s="7">
        <f t="shared" si="0"/>
        <v>16</v>
      </c>
    </row>
    <row r="15" spans="1:9" x14ac:dyDescent="0.2">
      <c r="A15" s="6" t="s">
        <v>421</v>
      </c>
      <c r="B15" s="7"/>
      <c r="C15" s="7"/>
      <c r="D15" s="7">
        <v>18</v>
      </c>
      <c r="E15" s="7"/>
      <c r="F15" s="7"/>
      <c r="G15" s="7"/>
      <c r="H15" s="7">
        <v>3</v>
      </c>
      <c r="I15" s="7">
        <f t="shared" si="0"/>
        <v>21</v>
      </c>
    </row>
    <row r="16" spans="1:9" x14ac:dyDescent="0.2">
      <c r="A16" s="6" t="s">
        <v>422</v>
      </c>
      <c r="B16" s="7"/>
      <c r="C16" s="7"/>
      <c r="D16" s="7"/>
      <c r="E16" s="7"/>
      <c r="F16" s="7"/>
      <c r="G16" s="7"/>
      <c r="H16" s="7">
        <v>3</v>
      </c>
      <c r="I16" s="7">
        <f t="shared" si="0"/>
        <v>3</v>
      </c>
    </row>
    <row r="17" spans="1:9" x14ac:dyDescent="0.2">
      <c r="A17" s="6"/>
      <c r="B17" s="7"/>
      <c r="C17" s="7"/>
      <c r="D17" s="7"/>
      <c r="E17" s="7"/>
      <c r="F17" s="7"/>
      <c r="G17" s="7"/>
      <c r="H17" s="7"/>
      <c r="I17" s="7">
        <f t="shared" si="0"/>
        <v>0</v>
      </c>
    </row>
    <row r="18" spans="1:9" x14ac:dyDescent="0.2">
      <c r="A18" s="6"/>
      <c r="B18" s="7"/>
      <c r="C18" s="7"/>
      <c r="D18" s="7"/>
      <c r="E18" s="7"/>
      <c r="F18" s="7"/>
      <c r="G18" s="7"/>
      <c r="H18" s="7"/>
      <c r="I18" s="7">
        <f t="shared" si="0"/>
        <v>0</v>
      </c>
    </row>
    <row r="19" spans="1:9" x14ac:dyDescent="0.2">
      <c r="A19" s="6"/>
      <c r="B19" s="7"/>
      <c r="C19" s="7"/>
      <c r="D19" s="7"/>
      <c r="E19" s="7"/>
      <c r="F19" s="7"/>
      <c r="G19" s="7"/>
      <c r="H19" s="7"/>
      <c r="I19" s="7">
        <f t="shared" si="0"/>
        <v>0</v>
      </c>
    </row>
    <row r="20" spans="1:9" x14ac:dyDescent="0.2">
      <c r="A20" s="6"/>
      <c r="B20" s="7"/>
      <c r="C20" s="7"/>
      <c r="D20" s="7"/>
      <c r="E20" s="7"/>
      <c r="F20" s="7"/>
      <c r="G20" s="7"/>
      <c r="H20" s="7"/>
      <c r="I20" s="7">
        <f t="shared" si="0"/>
        <v>0</v>
      </c>
    </row>
    <row r="21" spans="1:9" x14ac:dyDescent="0.2">
      <c r="A21" s="6"/>
      <c r="B21" s="7"/>
      <c r="C21" s="7"/>
      <c r="D21" s="7"/>
      <c r="E21" s="7"/>
      <c r="F21" s="7"/>
      <c r="G21" s="7"/>
      <c r="H21" s="7"/>
      <c r="I21" s="7">
        <f t="shared" si="0"/>
        <v>0</v>
      </c>
    </row>
    <row r="22" spans="1:9" x14ac:dyDescent="0.2">
      <c r="A22" s="6"/>
      <c r="B22" s="7"/>
      <c r="C22" s="7"/>
      <c r="D22" s="7"/>
      <c r="E22" s="7"/>
      <c r="F22" s="7"/>
      <c r="G22" s="7"/>
      <c r="H22" s="7"/>
      <c r="I22" s="7">
        <f t="shared" si="0"/>
        <v>0</v>
      </c>
    </row>
    <row r="23" spans="1:9" x14ac:dyDescent="0.2">
      <c r="A23" s="6"/>
      <c r="B23" s="7"/>
      <c r="C23" s="7"/>
      <c r="D23" s="7"/>
      <c r="E23" s="7"/>
      <c r="F23" s="7"/>
      <c r="G23" s="7"/>
      <c r="H23" s="7"/>
      <c r="I23" s="7">
        <f t="shared" si="0"/>
        <v>0</v>
      </c>
    </row>
    <row r="24" spans="1:9" x14ac:dyDescent="0.2">
      <c r="A24" s="6"/>
      <c r="B24" s="7"/>
      <c r="C24" s="7"/>
      <c r="D24" s="7"/>
      <c r="E24" s="7"/>
      <c r="F24" s="7"/>
      <c r="G24" s="7"/>
      <c r="H24" s="7"/>
      <c r="I24" s="7">
        <f t="shared" si="0"/>
        <v>0</v>
      </c>
    </row>
    <row r="25" spans="1:9" x14ac:dyDescent="0.2">
      <c r="A25" s="6"/>
      <c r="B25" s="7"/>
      <c r="C25" s="7"/>
      <c r="D25" s="7"/>
      <c r="E25" s="7"/>
      <c r="F25" s="7"/>
      <c r="G25" s="7"/>
      <c r="H25" s="7"/>
      <c r="I25" s="7">
        <f t="shared" si="0"/>
        <v>0</v>
      </c>
    </row>
    <row r="26" spans="1:9" x14ac:dyDescent="0.2">
      <c r="A26" s="6"/>
      <c r="B26" s="7"/>
      <c r="C26" s="7"/>
      <c r="D26" s="7"/>
      <c r="E26" s="7"/>
      <c r="F26" s="7"/>
      <c r="G26" s="7"/>
      <c r="H26" s="7"/>
      <c r="I26" s="7">
        <f t="shared" si="0"/>
        <v>0</v>
      </c>
    </row>
    <row r="27" spans="1:9" x14ac:dyDescent="0.2">
      <c r="A27" s="6"/>
      <c r="B27" s="7"/>
      <c r="C27" s="7"/>
      <c r="D27" s="7"/>
      <c r="E27" s="7"/>
      <c r="F27" s="7"/>
      <c r="G27" s="7"/>
      <c r="H27" s="7"/>
      <c r="I27" s="7">
        <f t="shared" si="0"/>
        <v>0</v>
      </c>
    </row>
    <row r="28" spans="1:9" x14ac:dyDescent="0.2">
      <c r="A28" s="6"/>
      <c r="B28" s="7"/>
      <c r="C28" s="7"/>
      <c r="D28" s="7"/>
      <c r="E28" s="7"/>
      <c r="F28" s="7"/>
      <c r="G28" s="7"/>
      <c r="H28" s="7"/>
      <c r="I28" s="7">
        <f t="shared" si="0"/>
        <v>0</v>
      </c>
    </row>
    <row r="29" spans="1:9" x14ac:dyDescent="0.2">
      <c r="A29" s="6"/>
      <c r="B29" s="7"/>
      <c r="C29" s="7"/>
      <c r="D29" s="7"/>
      <c r="E29" s="7"/>
      <c r="F29" s="7"/>
      <c r="G29" s="7"/>
      <c r="H29" s="7"/>
      <c r="I29" s="7">
        <f t="shared" si="0"/>
        <v>0</v>
      </c>
    </row>
    <row r="30" spans="1:9" x14ac:dyDescent="0.2">
      <c r="A30" s="6"/>
      <c r="B30" s="7"/>
      <c r="C30" s="7"/>
      <c r="D30" s="7"/>
      <c r="E30" s="7"/>
      <c r="F30" s="7"/>
      <c r="G30" s="7"/>
      <c r="H30" s="7"/>
      <c r="I30" s="7">
        <f t="shared" si="0"/>
        <v>0</v>
      </c>
    </row>
    <row r="31" spans="1:9" x14ac:dyDescent="0.2">
      <c r="A31" s="6"/>
      <c r="B31" s="7"/>
      <c r="C31" s="7"/>
      <c r="D31" s="7"/>
      <c r="E31" s="7"/>
      <c r="F31" s="7"/>
      <c r="G31" s="7"/>
      <c r="H31" s="7"/>
      <c r="I31" s="7">
        <f t="shared" si="0"/>
        <v>0</v>
      </c>
    </row>
    <row r="32" spans="1:9" x14ac:dyDescent="0.2">
      <c r="A32" s="6"/>
      <c r="B32" s="7"/>
      <c r="C32" s="7"/>
      <c r="D32" s="7"/>
      <c r="E32" s="7"/>
      <c r="F32" s="7"/>
      <c r="G32" s="7"/>
      <c r="H32" s="7"/>
      <c r="I32" s="7">
        <f t="shared" si="0"/>
        <v>0</v>
      </c>
    </row>
    <row r="33" spans="1:9" x14ac:dyDescent="0.2">
      <c r="A33" s="6"/>
      <c r="B33" s="7"/>
      <c r="C33" s="7"/>
      <c r="D33" s="7"/>
      <c r="E33" s="7"/>
      <c r="F33" s="7"/>
      <c r="G33" s="7"/>
      <c r="H33" s="7"/>
      <c r="I33" s="7">
        <f t="shared" si="0"/>
        <v>0</v>
      </c>
    </row>
    <row r="34" spans="1:9" x14ac:dyDescent="0.2">
      <c r="A34" s="6"/>
      <c r="B34" s="7"/>
      <c r="C34" s="7"/>
      <c r="D34" s="7"/>
      <c r="E34" s="7"/>
      <c r="F34" s="7"/>
      <c r="G34" s="7"/>
      <c r="H34" s="7"/>
      <c r="I34" s="7">
        <f t="shared" si="0"/>
        <v>0</v>
      </c>
    </row>
    <row r="35" spans="1:9" x14ac:dyDescent="0.2">
      <c r="A35" s="6"/>
      <c r="B35" s="7"/>
      <c r="C35" s="7"/>
      <c r="D35" s="7"/>
      <c r="E35" s="7"/>
      <c r="F35" s="7"/>
      <c r="G35" s="7"/>
      <c r="H35" s="7"/>
      <c r="I35" s="7">
        <f t="shared" si="0"/>
        <v>0</v>
      </c>
    </row>
    <row r="36" spans="1:9" x14ac:dyDescent="0.2">
      <c r="A36" s="6"/>
      <c r="B36" s="7"/>
      <c r="C36" s="7"/>
      <c r="D36" s="7"/>
      <c r="E36" s="7"/>
      <c r="F36" s="7"/>
      <c r="G36" s="7"/>
      <c r="H36" s="7"/>
      <c r="I36" s="7">
        <f t="shared" si="0"/>
        <v>0</v>
      </c>
    </row>
    <row r="37" spans="1:9" x14ac:dyDescent="0.2">
      <c r="A37" s="6"/>
      <c r="B37" s="7"/>
      <c r="C37" s="7"/>
      <c r="D37" s="7"/>
      <c r="E37" s="7"/>
      <c r="F37" s="7"/>
      <c r="G37" s="7"/>
      <c r="H37" s="7"/>
      <c r="I37" s="7">
        <f t="shared" si="0"/>
        <v>0</v>
      </c>
    </row>
    <row r="38" spans="1:9" x14ac:dyDescent="0.2">
      <c r="A38" s="6"/>
      <c r="B38" s="7"/>
      <c r="C38" s="7"/>
      <c r="D38" s="7"/>
      <c r="E38" s="7"/>
      <c r="F38" s="7"/>
      <c r="G38" s="7"/>
      <c r="H38" s="7"/>
      <c r="I38" s="7">
        <f t="shared" si="0"/>
        <v>0</v>
      </c>
    </row>
    <row r="39" spans="1:9" x14ac:dyDescent="0.2">
      <c r="A39" s="6"/>
      <c r="B39" s="7"/>
      <c r="C39" s="7"/>
      <c r="D39" s="7"/>
      <c r="E39" s="7"/>
      <c r="F39" s="7"/>
      <c r="G39" s="7"/>
      <c r="H39" s="7"/>
      <c r="I39" s="7">
        <f t="shared" si="0"/>
        <v>0</v>
      </c>
    </row>
    <row r="40" spans="1:9" x14ac:dyDescent="0.2">
      <c r="A40" s="6"/>
      <c r="B40" s="7"/>
      <c r="C40" s="7"/>
      <c r="D40" s="7"/>
      <c r="E40" s="7"/>
      <c r="F40" s="7"/>
      <c r="G40" s="7"/>
      <c r="H40" s="7"/>
      <c r="I40" s="7">
        <f t="shared" si="0"/>
        <v>0</v>
      </c>
    </row>
    <row r="41" spans="1:9" x14ac:dyDescent="0.2">
      <c r="A41" s="6"/>
      <c r="B41" s="7"/>
      <c r="C41" s="7"/>
      <c r="D41" s="7"/>
      <c r="E41" s="7"/>
      <c r="F41" s="7"/>
      <c r="G41" s="7"/>
      <c r="H41" s="7"/>
      <c r="I41" s="7">
        <f t="shared" si="0"/>
        <v>0</v>
      </c>
    </row>
    <row r="42" spans="1:9" x14ac:dyDescent="0.2">
      <c r="A42" s="6"/>
      <c r="B42" s="7"/>
      <c r="C42" s="7"/>
      <c r="D42" s="7"/>
      <c r="E42" s="7"/>
      <c r="F42" s="7"/>
      <c r="G42" s="7"/>
      <c r="H42" s="7"/>
      <c r="I42" s="7">
        <f t="shared" si="0"/>
        <v>0</v>
      </c>
    </row>
    <row r="43" spans="1:9" x14ac:dyDescent="0.2">
      <c r="A43" s="6"/>
      <c r="B43" s="7"/>
      <c r="C43" s="7"/>
      <c r="D43" s="7"/>
      <c r="E43" s="7"/>
      <c r="F43" s="7"/>
      <c r="G43" s="7"/>
      <c r="H43" s="7"/>
      <c r="I43" s="7">
        <f t="shared" si="0"/>
        <v>0</v>
      </c>
    </row>
    <row r="44" spans="1:9" x14ac:dyDescent="0.2">
      <c r="A44" s="6"/>
      <c r="B44" s="7"/>
      <c r="C44" s="7"/>
      <c r="D44" s="7"/>
      <c r="E44" s="7"/>
      <c r="F44" s="7"/>
      <c r="G44" s="7"/>
      <c r="H44" s="7"/>
      <c r="I44" s="7">
        <f t="shared" si="0"/>
        <v>0</v>
      </c>
    </row>
    <row r="45" spans="1:9" x14ac:dyDescent="0.2">
      <c r="A45" s="6"/>
      <c r="B45" s="7"/>
      <c r="C45" s="7"/>
      <c r="D45" s="7"/>
      <c r="E45" s="7"/>
      <c r="F45" s="7"/>
      <c r="G45" s="7"/>
      <c r="H45" s="7"/>
      <c r="I45" s="7">
        <f t="shared" si="0"/>
        <v>0</v>
      </c>
    </row>
    <row r="46" spans="1:9" x14ac:dyDescent="0.2">
      <c r="A46" s="6"/>
      <c r="B46" s="7"/>
      <c r="C46" s="7"/>
      <c r="D46" s="7"/>
      <c r="E46" s="7"/>
      <c r="F46" s="7"/>
      <c r="G46" s="7"/>
      <c r="H46" s="7"/>
      <c r="I46" s="7">
        <f t="shared" si="0"/>
        <v>0</v>
      </c>
    </row>
    <row r="47" spans="1:9" x14ac:dyDescent="0.2">
      <c r="A47" s="6"/>
      <c r="B47" s="7"/>
      <c r="C47" s="7"/>
      <c r="D47" s="7"/>
      <c r="E47" s="7"/>
      <c r="F47" s="7"/>
      <c r="G47" s="7"/>
      <c r="H47" s="7"/>
      <c r="I47" s="7">
        <f t="shared" si="0"/>
        <v>0</v>
      </c>
    </row>
    <row r="48" spans="1:9" x14ac:dyDescent="0.2">
      <c r="A48" s="6"/>
      <c r="B48" s="7"/>
      <c r="C48" s="7"/>
      <c r="D48" s="7"/>
      <c r="E48" s="7"/>
      <c r="F48" s="7"/>
      <c r="G48" s="7"/>
      <c r="H48" s="7"/>
      <c r="I48" s="7">
        <f t="shared" si="0"/>
        <v>0</v>
      </c>
    </row>
    <row r="49" spans="1:9" x14ac:dyDescent="0.2">
      <c r="A49" s="6"/>
      <c r="B49" s="7"/>
      <c r="C49" s="7"/>
      <c r="D49" s="7"/>
      <c r="E49" s="7"/>
      <c r="F49" s="7"/>
      <c r="G49" s="7"/>
      <c r="H49" s="7"/>
      <c r="I49" s="7">
        <f t="shared" si="0"/>
        <v>0</v>
      </c>
    </row>
    <row r="50" spans="1:9" x14ac:dyDescent="0.2">
      <c r="A50" s="6"/>
      <c r="B50" s="7"/>
      <c r="C50" s="7"/>
      <c r="D50" s="7"/>
      <c r="E50" s="7"/>
      <c r="F50" s="7"/>
      <c r="G50" s="7"/>
      <c r="H50" s="7"/>
      <c r="I50" s="7">
        <f t="shared" si="0"/>
        <v>0</v>
      </c>
    </row>
    <row r="51" spans="1:9" x14ac:dyDescent="0.2">
      <c r="A51" s="6"/>
      <c r="B51" s="7"/>
      <c r="C51" s="7"/>
      <c r="D51" s="7"/>
      <c r="E51" s="7"/>
      <c r="F51" s="7"/>
      <c r="G51" s="7"/>
      <c r="H51" s="7"/>
      <c r="I51" s="7">
        <f t="shared" si="0"/>
        <v>0</v>
      </c>
    </row>
    <row r="52" spans="1:9" x14ac:dyDescent="0.2">
      <c r="A52" s="6"/>
      <c r="B52" s="7"/>
      <c r="C52" s="7"/>
      <c r="D52" s="7"/>
      <c r="E52" s="7"/>
      <c r="F52" s="7"/>
      <c r="G52" s="7"/>
      <c r="H52" s="7"/>
      <c r="I52" s="7">
        <f t="shared" si="0"/>
        <v>0</v>
      </c>
    </row>
    <row r="53" spans="1:9" x14ac:dyDescent="0.2">
      <c r="A53" s="6"/>
      <c r="B53" s="7"/>
      <c r="C53" s="7"/>
      <c r="D53" s="7"/>
      <c r="E53" s="7"/>
      <c r="F53" s="7"/>
      <c r="G53" s="7"/>
      <c r="H53" s="7"/>
      <c r="I53" s="7">
        <f t="shared" si="0"/>
        <v>0</v>
      </c>
    </row>
    <row r="54" spans="1:9" x14ac:dyDescent="0.2">
      <c r="A54" s="6"/>
      <c r="B54" s="7"/>
      <c r="C54" s="7"/>
      <c r="D54" s="7"/>
      <c r="E54" s="7"/>
      <c r="F54" s="7"/>
      <c r="G54" s="7"/>
      <c r="H54" s="7"/>
      <c r="I54" s="7">
        <f t="shared" si="0"/>
        <v>0</v>
      </c>
    </row>
    <row r="55" spans="1:9" x14ac:dyDescent="0.2">
      <c r="A55" s="6"/>
      <c r="B55" s="7"/>
      <c r="C55" s="7"/>
      <c r="D55" s="7"/>
      <c r="E55" s="7"/>
      <c r="F55" s="7"/>
      <c r="G55" s="7"/>
      <c r="H55" s="7"/>
      <c r="I55" s="7">
        <f t="shared" si="0"/>
        <v>0</v>
      </c>
    </row>
    <row r="56" spans="1:9" x14ac:dyDescent="0.2">
      <c r="A56" s="6"/>
      <c r="B56" s="7"/>
      <c r="C56" s="7"/>
      <c r="D56" s="7"/>
      <c r="E56" s="7"/>
      <c r="F56" s="7"/>
      <c r="G56" s="7"/>
      <c r="H56" s="7"/>
      <c r="I56" s="7">
        <f t="shared" ref="I56:I90" si="1">+B56*C56+D56+E56+F56+H56+G56</f>
        <v>0</v>
      </c>
    </row>
    <row r="57" spans="1:9" x14ac:dyDescent="0.2">
      <c r="A57" s="6"/>
      <c r="B57" s="7"/>
      <c r="C57" s="7"/>
      <c r="D57" s="7"/>
      <c r="E57" s="7"/>
      <c r="F57" s="7"/>
      <c r="G57" s="7"/>
      <c r="H57" s="7"/>
      <c r="I57" s="7">
        <f t="shared" si="1"/>
        <v>0</v>
      </c>
    </row>
    <row r="58" spans="1:9" x14ac:dyDescent="0.2">
      <c r="A58" s="6"/>
      <c r="B58" s="7"/>
      <c r="C58" s="7"/>
      <c r="D58" s="7"/>
      <c r="E58" s="7"/>
      <c r="F58" s="7"/>
      <c r="G58" s="7"/>
      <c r="H58" s="7"/>
      <c r="I58" s="7">
        <f t="shared" si="1"/>
        <v>0</v>
      </c>
    </row>
    <row r="59" spans="1:9" x14ac:dyDescent="0.2">
      <c r="A59" s="6"/>
      <c r="B59" s="7"/>
      <c r="C59" s="7"/>
      <c r="D59" s="7"/>
      <c r="E59" s="7"/>
      <c r="F59" s="7"/>
      <c r="G59" s="7"/>
      <c r="H59" s="7"/>
      <c r="I59" s="7">
        <f t="shared" si="1"/>
        <v>0</v>
      </c>
    </row>
    <row r="60" spans="1:9" x14ac:dyDescent="0.2">
      <c r="A60" s="6"/>
      <c r="B60" s="7"/>
      <c r="C60" s="7"/>
      <c r="D60" s="7"/>
      <c r="E60" s="7"/>
      <c r="F60" s="7"/>
      <c r="G60" s="7"/>
      <c r="H60" s="7"/>
      <c r="I60" s="7">
        <f t="shared" si="1"/>
        <v>0</v>
      </c>
    </row>
    <row r="61" spans="1:9" x14ac:dyDescent="0.2">
      <c r="A61" s="6"/>
      <c r="B61" s="7"/>
      <c r="C61" s="7"/>
      <c r="D61" s="7"/>
      <c r="E61" s="7"/>
      <c r="F61" s="7"/>
      <c r="G61" s="7"/>
      <c r="H61" s="7"/>
      <c r="I61" s="7">
        <f t="shared" si="1"/>
        <v>0</v>
      </c>
    </row>
    <row r="62" spans="1:9" x14ac:dyDescent="0.2">
      <c r="A62" s="6"/>
      <c r="B62" s="7"/>
      <c r="C62" s="7"/>
      <c r="D62" s="7"/>
      <c r="E62" s="7"/>
      <c r="F62" s="7"/>
      <c r="G62" s="7"/>
      <c r="H62" s="7"/>
      <c r="I62" s="7">
        <f t="shared" si="1"/>
        <v>0</v>
      </c>
    </row>
    <row r="63" spans="1:9" x14ac:dyDescent="0.2">
      <c r="A63" s="6"/>
      <c r="B63" s="7"/>
      <c r="C63" s="7"/>
      <c r="D63" s="7"/>
      <c r="E63" s="7"/>
      <c r="F63" s="7"/>
      <c r="G63" s="7"/>
      <c r="H63" s="7"/>
      <c r="I63" s="7">
        <f t="shared" si="1"/>
        <v>0</v>
      </c>
    </row>
    <row r="64" spans="1:9" x14ac:dyDescent="0.2">
      <c r="A64" s="6"/>
      <c r="B64" s="7"/>
      <c r="C64" s="7"/>
      <c r="D64" s="7"/>
      <c r="E64" s="7"/>
      <c r="F64" s="7"/>
      <c r="G64" s="7"/>
      <c r="H64" s="7"/>
      <c r="I64" s="7">
        <f t="shared" si="1"/>
        <v>0</v>
      </c>
    </row>
    <row r="65" spans="1:9" x14ac:dyDescent="0.2">
      <c r="A65" s="6"/>
      <c r="B65" s="7"/>
      <c r="C65" s="7"/>
      <c r="D65" s="7"/>
      <c r="E65" s="7"/>
      <c r="F65" s="7"/>
      <c r="G65" s="7"/>
      <c r="H65" s="7"/>
      <c r="I65" s="7">
        <f t="shared" si="1"/>
        <v>0</v>
      </c>
    </row>
    <row r="66" spans="1:9" x14ac:dyDescent="0.2">
      <c r="A66" s="6"/>
      <c r="B66" s="7"/>
      <c r="C66" s="7"/>
      <c r="D66" s="7"/>
      <c r="E66" s="7"/>
      <c r="F66" s="7"/>
      <c r="G66" s="7"/>
      <c r="H66" s="7"/>
      <c r="I66" s="7">
        <f t="shared" si="1"/>
        <v>0</v>
      </c>
    </row>
    <row r="67" spans="1:9" x14ac:dyDescent="0.2">
      <c r="A67" s="6"/>
      <c r="B67" s="7"/>
      <c r="C67" s="7"/>
      <c r="D67" s="7"/>
      <c r="E67" s="7"/>
      <c r="F67" s="7"/>
      <c r="G67" s="7"/>
      <c r="H67" s="7"/>
      <c r="I67" s="7">
        <f t="shared" si="1"/>
        <v>0</v>
      </c>
    </row>
    <row r="68" spans="1:9" x14ac:dyDescent="0.2">
      <c r="A68" s="6"/>
      <c r="B68" s="7"/>
      <c r="C68" s="7"/>
      <c r="D68" s="7"/>
      <c r="E68" s="7"/>
      <c r="F68" s="7"/>
      <c r="G68" s="7"/>
      <c r="H68" s="7"/>
      <c r="I68" s="7">
        <f t="shared" si="1"/>
        <v>0</v>
      </c>
    </row>
    <row r="69" spans="1:9" x14ac:dyDescent="0.2">
      <c r="A69" s="6"/>
      <c r="B69" s="7"/>
      <c r="C69" s="7"/>
      <c r="D69" s="7"/>
      <c r="E69" s="7"/>
      <c r="F69" s="7"/>
      <c r="G69" s="7"/>
      <c r="H69" s="7"/>
      <c r="I69" s="7">
        <f t="shared" si="1"/>
        <v>0</v>
      </c>
    </row>
    <row r="70" spans="1:9" x14ac:dyDescent="0.2">
      <c r="A70" s="6"/>
      <c r="B70" s="7"/>
      <c r="C70" s="7"/>
      <c r="D70" s="7"/>
      <c r="E70" s="7"/>
      <c r="F70" s="7"/>
      <c r="G70" s="7"/>
      <c r="H70" s="7"/>
      <c r="I70" s="7">
        <f t="shared" si="1"/>
        <v>0</v>
      </c>
    </row>
    <row r="71" spans="1:9" x14ac:dyDescent="0.2">
      <c r="A71" s="6"/>
      <c r="B71" s="7"/>
      <c r="C71" s="7"/>
      <c r="D71" s="7"/>
      <c r="E71" s="7"/>
      <c r="F71" s="7"/>
      <c r="G71" s="7"/>
      <c r="H71" s="7"/>
      <c r="I71" s="7">
        <f t="shared" si="1"/>
        <v>0</v>
      </c>
    </row>
    <row r="72" spans="1:9" x14ac:dyDescent="0.2">
      <c r="A72" s="6"/>
      <c r="B72" s="7"/>
      <c r="C72" s="7"/>
      <c r="D72" s="7"/>
      <c r="E72" s="7"/>
      <c r="F72" s="7"/>
      <c r="G72" s="7"/>
      <c r="H72" s="7"/>
      <c r="I72" s="7">
        <f t="shared" si="1"/>
        <v>0</v>
      </c>
    </row>
    <row r="73" spans="1:9" x14ac:dyDescent="0.2">
      <c r="A73" s="6"/>
      <c r="B73" s="7"/>
      <c r="C73" s="7"/>
      <c r="D73" s="7"/>
      <c r="E73" s="7"/>
      <c r="F73" s="7"/>
      <c r="G73" s="7"/>
      <c r="H73" s="7"/>
      <c r="I73" s="7">
        <f t="shared" si="1"/>
        <v>0</v>
      </c>
    </row>
    <row r="74" spans="1:9" x14ac:dyDescent="0.2">
      <c r="A74" s="6"/>
      <c r="B74" s="7"/>
      <c r="C74" s="7"/>
      <c r="D74" s="7"/>
      <c r="E74" s="7"/>
      <c r="F74" s="7"/>
      <c r="G74" s="7"/>
      <c r="H74" s="7"/>
      <c r="I74" s="7">
        <f t="shared" si="1"/>
        <v>0</v>
      </c>
    </row>
    <row r="75" spans="1:9" x14ac:dyDescent="0.2">
      <c r="A75" s="6"/>
      <c r="B75" s="7"/>
      <c r="C75" s="7"/>
      <c r="D75" s="7"/>
      <c r="E75" s="7"/>
      <c r="F75" s="7"/>
      <c r="G75" s="7"/>
      <c r="H75" s="7"/>
      <c r="I75" s="7">
        <f t="shared" si="1"/>
        <v>0</v>
      </c>
    </row>
    <row r="76" spans="1:9" x14ac:dyDescent="0.2">
      <c r="A76" s="6"/>
      <c r="B76" s="7"/>
      <c r="C76" s="7"/>
      <c r="D76" s="7"/>
      <c r="E76" s="7"/>
      <c r="F76" s="7"/>
      <c r="G76" s="7"/>
      <c r="H76" s="7"/>
      <c r="I76" s="7">
        <f t="shared" si="1"/>
        <v>0</v>
      </c>
    </row>
    <row r="77" spans="1:9" x14ac:dyDescent="0.2">
      <c r="A77" s="6"/>
      <c r="B77" s="7"/>
      <c r="C77" s="7"/>
      <c r="D77" s="7"/>
      <c r="E77" s="7"/>
      <c r="F77" s="7"/>
      <c r="G77" s="7"/>
      <c r="H77" s="7"/>
      <c r="I77" s="7">
        <f t="shared" si="1"/>
        <v>0</v>
      </c>
    </row>
    <row r="78" spans="1:9" x14ac:dyDescent="0.2">
      <c r="A78" s="6"/>
      <c r="B78" s="7"/>
      <c r="C78" s="7"/>
      <c r="D78" s="7"/>
      <c r="E78" s="7"/>
      <c r="F78" s="7"/>
      <c r="G78" s="7"/>
      <c r="H78" s="7"/>
      <c r="I78" s="7">
        <f t="shared" si="1"/>
        <v>0</v>
      </c>
    </row>
    <row r="79" spans="1:9" x14ac:dyDescent="0.2">
      <c r="A79" s="6"/>
      <c r="B79" s="7"/>
      <c r="C79" s="7"/>
      <c r="D79" s="7"/>
      <c r="E79" s="7"/>
      <c r="F79" s="7"/>
      <c r="G79" s="7"/>
      <c r="H79" s="7"/>
      <c r="I79" s="7">
        <f t="shared" si="1"/>
        <v>0</v>
      </c>
    </row>
    <row r="80" spans="1:9" x14ac:dyDescent="0.2">
      <c r="A80" s="6"/>
      <c r="B80" s="7"/>
      <c r="C80" s="7"/>
      <c r="D80" s="7"/>
      <c r="E80" s="7"/>
      <c r="F80" s="7"/>
      <c r="G80" s="7"/>
      <c r="H80" s="7"/>
      <c r="I80" s="7">
        <f t="shared" si="1"/>
        <v>0</v>
      </c>
    </row>
    <row r="81" spans="1:9" x14ac:dyDescent="0.2">
      <c r="A81" s="6"/>
      <c r="B81" s="7"/>
      <c r="C81" s="7"/>
      <c r="D81" s="7"/>
      <c r="E81" s="7"/>
      <c r="F81" s="7"/>
      <c r="G81" s="7"/>
      <c r="H81" s="7"/>
      <c r="I81" s="7">
        <f t="shared" si="1"/>
        <v>0</v>
      </c>
    </row>
    <row r="82" spans="1:9" x14ac:dyDescent="0.2">
      <c r="A82" s="6"/>
      <c r="B82" s="7"/>
      <c r="C82" s="7"/>
      <c r="D82" s="7"/>
      <c r="E82" s="7"/>
      <c r="F82" s="7"/>
      <c r="G82" s="7"/>
      <c r="H82" s="7"/>
      <c r="I82" s="7">
        <f t="shared" si="1"/>
        <v>0</v>
      </c>
    </row>
    <row r="83" spans="1:9" x14ac:dyDescent="0.2">
      <c r="A83" s="6"/>
      <c r="B83" s="7"/>
      <c r="C83" s="7"/>
      <c r="D83" s="7"/>
      <c r="E83" s="7"/>
      <c r="F83" s="7"/>
      <c r="G83" s="7"/>
      <c r="H83" s="7"/>
      <c r="I83" s="7">
        <f t="shared" si="1"/>
        <v>0</v>
      </c>
    </row>
    <row r="84" spans="1:9" x14ac:dyDescent="0.2">
      <c r="A84" s="6"/>
      <c r="B84" s="7"/>
      <c r="C84" s="7"/>
      <c r="D84" s="7"/>
      <c r="E84" s="7"/>
      <c r="F84" s="7"/>
      <c r="G84" s="7"/>
      <c r="H84" s="7"/>
      <c r="I84" s="7">
        <f t="shared" si="1"/>
        <v>0</v>
      </c>
    </row>
    <row r="85" spans="1:9" x14ac:dyDescent="0.2">
      <c r="A85" s="6"/>
      <c r="B85" s="7"/>
      <c r="C85" s="7"/>
      <c r="D85" s="7"/>
      <c r="E85" s="7"/>
      <c r="F85" s="7"/>
      <c r="G85" s="7"/>
      <c r="H85" s="7"/>
      <c r="I85" s="7">
        <f t="shared" si="1"/>
        <v>0</v>
      </c>
    </row>
    <row r="86" spans="1:9" x14ac:dyDescent="0.2">
      <c r="A86" s="6"/>
      <c r="B86" s="7"/>
      <c r="C86" s="7"/>
      <c r="D86" s="7"/>
      <c r="E86" s="7"/>
      <c r="F86" s="7"/>
      <c r="G86" s="7"/>
      <c r="H86" s="7"/>
      <c r="I86" s="7">
        <f t="shared" si="1"/>
        <v>0</v>
      </c>
    </row>
    <row r="87" spans="1:9" x14ac:dyDescent="0.2">
      <c r="A87" s="6"/>
      <c r="B87" s="7"/>
      <c r="C87" s="7"/>
      <c r="D87" s="7"/>
      <c r="E87" s="7"/>
      <c r="F87" s="7"/>
      <c r="G87" s="7"/>
      <c r="H87" s="7"/>
      <c r="I87" s="7">
        <f t="shared" si="1"/>
        <v>0</v>
      </c>
    </row>
    <row r="88" spans="1:9" x14ac:dyDescent="0.2">
      <c r="A88" s="6"/>
      <c r="B88" s="7"/>
      <c r="C88" s="7"/>
      <c r="D88" s="7"/>
      <c r="E88" s="7"/>
      <c r="F88" s="7"/>
      <c r="G88" s="7"/>
      <c r="H88" s="7"/>
      <c r="I88" s="7">
        <f t="shared" si="1"/>
        <v>0</v>
      </c>
    </row>
    <row r="89" spans="1:9" x14ac:dyDescent="0.2">
      <c r="A89" s="6"/>
      <c r="B89" s="7"/>
      <c r="C89" s="7"/>
      <c r="D89" s="7"/>
      <c r="E89" s="7"/>
      <c r="F89" s="7"/>
      <c r="G89" s="7"/>
      <c r="H89" s="7"/>
      <c r="I89" s="7">
        <f t="shared" si="1"/>
        <v>0</v>
      </c>
    </row>
    <row r="90" spans="1:9" x14ac:dyDescent="0.2">
      <c r="A90" s="6"/>
      <c r="B90" s="7"/>
      <c r="C90" s="7"/>
      <c r="D90" s="7"/>
      <c r="E90" s="7"/>
      <c r="F90" s="7"/>
      <c r="G90" s="7"/>
      <c r="H90" s="7"/>
      <c r="I90" s="7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24E6-38B1-5C41-9666-B4A8EDCDEDB0}">
  <dimension ref="A1:H41"/>
  <sheetViews>
    <sheetView workbookViewId="0">
      <selection activeCell="K21" sqref="K21"/>
    </sheetView>
  </sheetViews>
  <sheetFormatPr baseColWidth="10" defaultRowHeight="16" x14ac:dyDescent="0.2"/>
  <cols>
    <col min="1" max="1" width="7.83203125" bestFit="1" customWidth="1"/>
    <col min="2" max="2" width="6.6640625" bestFit="1" customWidth="1"/>
    <col min="3" max="3" width="14.1640625" bestFit="1" customWidth="1"/>
    <col min="4" max="7" width="12.83203125" bestFit="1" customWidth="1"/>
    <col min="8" max="8" width="14.1640625" bestFit="1" customWidth="1"/>
  </cols>
  <sheetData>
    <row r="1" spans="1:8" x14ac:dyDescent="0.2">
      <c r="A1" s="4" t="s">
        <v>5</v>
      </c>
      <c r="B1" s="4" t="s">
        <v>1</v>
      </c>
      <c r="C1" s="4" t="s">
        <v>2</v>
      </c>
      <c r="D1" s="4" t="s">
        <v>3</v>
      </c>
      <c r="E1" s="4" t="s">
        <v>3</v>
      </c>
      <c r="F1" s="4" t="s">
        <v>3</v>
      </c>
      <c r="G1" s="4" t="s">
        <v>3</v>
      </c>
      <c r="H1" s="5" t="s">
        <v>4</v>
      </c>
    </row>
    <row r="2" spans="1:8" x14ac:dyDescent="0.2">
      <c r="A2" s="6" t="s">
        <v>323</v>
      </c>
      <c r="B2" s="7"/>
      <c r="C2" s="7"/>
      <c r="D2" s="7">
        <v>3.7</v>
      </c>
      <c r="E2" s="7"/>
      <c r="F2" s="7"/>
      <c r="G2" s="7"/>
      <c r="H2" s="7">
        <f>+B2*C2+D2+E2+F2+G2</f>
        <v>3.7</v>
      </c>
    </row>
    <row r="3" spans="1:8" x14ac:dyDescent="0.2">
      <c r="A3" s="6" t="s">
        <v>324</v>
      </c>
      <c r="B3" s="7"/>
      <c r="C3" s="7"/>
      <c r="D3" s="7">
        <v>3.4</v>
      </c>
      <c r="E3" s="7"/>
      <c r="F3" s="7"/>
      <c r="G3" s="7"/>
      <c r="H3" s="7">
        <f t="shared" ref="H3:H41" si="0">+B3*C3+D3+E3+F3+G3</f>
        <v>3.4</v>
      </c>
    </row>
    <row r="4" spans="1:8" x14ac:dyDescent="0.2">
      <c r="A4" s="6" t="s">
        <v>325</v>
      </c>
      <c r="B4" s="7"/>
      <c r="C4" s="7"/>
      <c r="D4" s="7">
        <v>3.7</v>
      </c>
      <c r="E4" s="7"/>
      <c r="F4" s="7"/>
      <c r="G4" s="7"/>
      <c r="H4" s="7">
        <f t="shared" si="0"/>
        <v>3.7</v>
      </c>
    </row>
    <row r="5" spans="1:8" x14ac:dyDescent="0.2">
      <c r="A5" s="6" t="s">
        <v>326</v>
      </c>
      <c r="B5" s="7"/>
      <c r="C5" s="7"/>
      <c r="D5" s="7">
        <v>3.7</v>
      </c>
      <c r="E5" s="7"/>
      <c r="F5" s="7"/>
      <c r="G5" s="7"/>
      <c r="H5" s="7">
        <f t="shared" si="0"/>
        <v>3.7</v>
      </c>
    </row>
    <row r="6" spans="1:8" x14ac:dyDescent="0.2">
      <c r="A6" s="6" t="s">
        <v>327</v>
      </c>
      <c r="B6" s="7"/>
      <c r="C6" s="7"/>
      <c r="D6" s="7">
        <v>3.2</v>
      </c>
      <c r="E6" s="7"/>
      <c r="F6" s="7"/>
      <c r="G6" s="7"/>
      <c r="H6" s="7">
        <f t="shared" si="0"/>
        <v>3.2</v>
      </c>
    </row>
    <row r="7" spans="1:8" x14ac:dyDescent="0.2">
      <c r="A7" s="6" t="s">
        <v>328</v>
      </c>
      <c r="B7" s="7"/>
      <c r="C7" s="7"/>
      <c r="D7" s="7">
        <v>3.3</v>
      </c>
      <c r="E7" s="7"/>
      <c r="F7" s="7"/>
      <c r="G7" s="7"/>
      <c r="H7" s="7">
        <f t="shared" si="0"/>
        <v>3.3</v>
      </c>
    </row>
    <row r="8" spans="1:8" x14ac:dyDescent="0.2">
      <c r="A8" s="6" t="s">
        <v>329</v>
      </c>
      <c r="B8" s="7"/>
      <c r="C8" s="7"/>
      <c r="D8" s="7">
        <v>3.7</v>
      </c>
      <c r="E8" s="7"/>
      <c r="F8" s="7"/>
      <c r="G8" s="7"/>
      <c r="H8" s="7">
        <f t="shared" si="0"/>
        <v>3.7</v>
      </c>
    </row>
    <row r="9" spans="1:8" x14ac:dyDescent="0.2">
      <c r="A9" s="6" t="s">
        <v>330</v>
      </c>
      <c r="B9" s="7"/>
      <c r="C9" s="7"/>
      <c r="D9" s="7">
        <v>3.8</v>
      </c>
      <c r="E9" s="7"/>
      <c r="F9" s="7"/>
      <c r="G9" s="7"/>
      <c r="H9" s="7">
        <f t="shared" si="0"/>
        <v>3.8</v>
      </c>
    </row>
    <row r="10" spans="1:8" x14ac:dyDescent="0.2">
      <c r="A10" s="6" t="s">
        <v>331</v>
      </c>
      <c r="B10" s="7"/>
      <c r="C10" s="7"/>
      <c r="D10" s="7">
        <v>3.8</v>
      </c>
      <c r="E10" s="7"/>
      <c r="F10" s="7"/>
      <c r="G10" s="7"/>
      <c r="H10" s="7">
        <f t="shared" si="0"/>
        <v>3.8</v>
      </c>
    </row>
    <row r="11" spans="1:8" x14ac:dyDescent="0.2">
      <c r="A11" s="6" t="s">
        <v>332</v>
      </c>
      <c r="B11" s="7"/>
      <c r="C11" s="7"/>
      <c r="D11" s="7">
        <v>3.8</v>
      </c>
      <c r="E11" s="7"/>
      <c r="F11" s="7"/>
      <c r="G11" s="7"/>
      <c r="H11" s="7">
        <f t="shared" si="0"/>
        <v>3.8</v>
      </c>
    </row>
    <row r="12" spans="1:8" x14ac:dyDescent="0.2">
      <c r="A12" s="6" t="s">
        <v>333</v>
      </c>
      <c r="B12" s="7"/>
      <c r="C12" s="7"/>
      <c r="D12" s="7">
        <v>3</v>
      </c>
      <c r="E12" s="7"/>
      <c r="F12" s="7"/>
      <c r="G12" s="7"/>
      <c r="H12" s="7">
        <f t="shared" si="0"/>
        <v>3</v>
      </c>
    </row>
    <row r="13" spans="1:8" x14ac:dyDescent="0.2">
      <c r="A13" s="6" t="s">
        <v>334</v>
      </c>
      <c r="B13" s="7"/>
      <c r="C13" s="7"/>
      <c r="D13" s="7">
        <v>3.6</v>
      </c>
      <c r="E13" s="7"/>
      <c r="F13" s="7"/>
      <c r="G13" s="7"/>
      <c r="H13" s="7">
        <f t="shared" si="0"/>
        <v>3.6</v>
      </c>
    </row>
    <row r="14" spans="1:8" x14ac:dyDescent="0.2">
      <c r="A14" s="6" t="s">
        <v>335</v>
      </c>
      <c r="B14" s="7"/>
      <c r="C14" s="7"/>
      <c r="D14" s="7">
        <v>3.5</v>
      </c>
      <c r="E14" s="7"/>
      <c r="F14" s="7"/>
      <c r="G14" s="7"/>
      <c r="H14" s="7">
        <f t="shared" si="0"/>
        <v>3.5</v>
      </c>
    </row>
    <row r="15" spans="1:8" x14ac:dyDescent="0.2">
      <c r="A15" s="6" t="s">
        <v>336</v>
      </c>
      <c r="B15" s="7"/>
      <c r="C15" s="7"/>
      <c r="D15" s="7">
        <v>4</v>
      </c>
      <c r="E15" s="7"/>
      <c r="F15" s="7"/>
      <c r="G15" s="7"/>
      <c r="H15" s="7">
        <f t="shared" si="0"/>
        <v>4</v>
      </c>
    </row>
    <row r="16" spans="1:8" x14ac:dyDescent="0.2">
      <c r="A16" s="6" t="s">
        <v>337</v>
      </c>
      <c r="B16" s="7"/>
      <c r="C16" s="7"/>
      <c r="D16" s="7">
        <v>3.3</v>
      </c>
      <c r="E16" s="7"/>
      <c r="F16" s="7"/>
      <c r="G16" s="7"/>
      <c r="H16" s="7">
        <f t="shared" si="0"/>
        <v>3.3</v>
      </c>
    </row>
    <row r="17" spans="1:8" x14ac:dyDescent="0.2">
      <c r="A17" s="6" t="s">
        <v>338</v>
      </c>
      <c r="B17" s="7"/>
      <c r="C17" s="7"/>
      <c r="D17" s="7">
        <v>6.2</v>
      </c>
      <c r="E17" s="7"/>
      <c r="F17" s="7"/>
      <c r="G17" s="7"/>
      <c r="H17" s="7">
        <f t="shared" si="0"/>
        <v>6.2</v>
      </c>
    </row>
    <row r="18" spans="1:8" x14ac:dyDescent="0.2">
      <c r="A18" s="6" t="s">
        <v>339</v>
      </c>
      <c r="B18" s="7"/>
      <c r="C18" s="7"/>
      <c r="D18" s="7">
        <v>4</v>
      </c>
      <c r="E18" s="7"/>
      <c r="F18" s="7"/>
      <c r="G18" s="7"/>
      <c r="H18" s="7">
        <f t="shared" si="0"/>
        <v>4</v>
      </c>
    </row>
    <row r="19" spans="1:8" x14ac:dyDescent="0.2">
      <c r="A19" s="6" t="s">
        <v>340</v>
      </c>
      <c r="B19" s="7"/>
      <c r="C19" s="7"/>
      <c r="D19" s="7">
        <v>3.4</v>
      </c>
      <c r="E19" s="7"/>
      <c r="F19" s="7"/>
      <c r="G19" s="7"/>
      <c r="H19" s="7">
        <f t="shared" si="0"/>
        <v>3.4</v>
      </c>
    </row>
    <row r="20" spans="1:8" x14ac:dyDescent="0.2">
      <c r="A20" s="6" t="s">
        <v>341</v>
      </c>
      <c r="B20" s="7"/>
      <c r="C20" s="7"/>
      <c r="D20" s="7">
        <v>3.4</v>
      </c>
      <c r="E20" s="7"/>
      <c r="F20" s="7"/>
      <c r="G20" s="7"/>
      <c r="H20" s="7">
        <f t="shared" si="0"/>
        <v>3.4</v>
      </c>
    </row>
    <row r="21" spans="1:8" x14ac:dyDescent="0.2">
      <c r="A21" s="6" t="s">
        <v>342</v>
      </c>
      <c r="B21" s="7"/>
      <c r="C21" s="7"/>
      <c r="D21" s="7">
        <v>4.5</v>
      </c>
      <c r="E21" s="7"/>
      <c r="F21" s="7"/>
      <c r="G21" s="7"/>
      <c r="H21" s="7">
        <f t="shared" si="0"/>
        <v>4.5</v>
      </c>
    </row>
    <row r="22" spans="1:8" x14ac:dyDescent="0.2">
      <c r="A22" s="6" t="s">
        <v>343</v>
      </c>
      <c r="B22" s="7"/>
      <c r="C22" s="7"/>
      <c r="D22" s="7">
        <v>3.7</v>
      </c>
      <c r="E22" s="7"/>
      <c r="F22" s="7"/>
      <c r="G22" s="7"/>
      <c r="H22" s="7">
        <f t="shared" si="0"/>
        <v>3.7</v>
      </c>
    </row>
    <row r="23" spans="1:8" x14ac:dyDescent="0.2">
      <c r="A23" s="6" t="s">
        <v>344</v>
      </c>
      <c r="B23" s="7"/>
      <c r="C23" s="7"/>
      <c r="D23" s="7">
        <v>3.7</v>
      </c>
      <c r="E23" s="7"/>
      <c r="F23" s="7"/>
      <c r="G23" s="7"/>
      <c r="H23" s="7">
        <f t="shared" si="0"/>
        <v>3.7</v>
      </c>
    </row>
    <row r="24" spans="1:8" x14ac:dyDescent="0.2">
      <c r="A24" s="6" t="s">
        <v>345</v>
      </c>
      <c r="B24" s="7"/>
      <c r="C24" s="7"/>
      <c r="D24" s="7">
        <v>11.3</v>
      </c>
      <c r="E24" s="7"/>
      <c r="F24" s="7"/>
      <c r="G24" s="7"/>
      <c r="H24" s="7">
        <f t="shared" si="0"/>
        <v>11.3</v>
      </c>
    </row>
    <row r="25" spans="1:8" x14ac:dyDescent="0.2">
      <c r="A25" s="6" t="s">
        <v>346</v>
      </c>
      <c r="B25" s="7"/>
      <c r="C25" s="7"/>
      <c r="D25" s="7">
        <v>3.3</v>
      </c>
      <c r="E25" s="7"/>
      <c r="F25" s="7"/>
      <c r="G25" s="7"/>
      <c r="H25" s="7">
        <f t="shared" si="0"/>
        <v>3.3</v>
      </c>
    </row>
    <row r="26" spans="1:8" x14ac:dyDescent="0.2">
      <c r="A26" s="6" t="s">
        <v>347</v>
      </c>
      <c r="B26" s="7"/>
      <c r="C26" s="7"/>
      <c r="D26" s="7">
        <v>3.4</v>
      </c>
      <c r="E26" s="7"/>
      <c r="F26" s="7"/>
      <c r="G26" s="7"/>
      <c r="H26" s="7">
        <f t="shared" si="0"/>
        <v>3.4</v>
      </c>
    </row>
    <row r="27" spans="1:8" x14ac:dyDescent="0.2">
      <c r="A27" s="6" t="s">
        <v>348</v>
      </c>
      <c r="B27" s="7"/>
      <c r="C27" s="7"/>
      <c r="D27" s="7">
        <v>3.9</v>
      </c>
      <c r="E27" s="7"/>
      <c r="F27" s="7"/>
      <c r="G27" s="7"/>
      <c r="H27" s="7">
        <f t="shared" si="0"/>
        <v>3.9</v>
      </c>
    </row>
    <row r="28" spans="1:8" x14ac:dyDescent="0.2">
      <c r="A28" s="6" t="s">
        <v>349</v>
      </c>
      <c r="B28" s="7"/>
      <c r="C28" s="7"/>
      <c r="D28" s="7">
        <v>4</v>
      </c>
      <c r="E28" s="7"/>
      <c r="F28" s="7"/>
      <c r="G28" s="7"/>
      <c r="H28" s="7">
        <f t="shared" si="0"/>
        <v>4</v>
      </c>
    </row>
    <row r="29" spans="1:8" x14ac:dyDescent="0.2">
      <c r="A29" s="6" t="s">
        <v>350</v>
      </c>
      <c r="B29" s="7"/>
      <c r="C29" s="7"/>
      <c r="D29" s="7">
        <v>4</v>
      </c>
      <c r="E29" s="7"/>
      <c r="F29" s="7"/>
      <c r="G29" s="7"/>
      <c r="H29" s="7">
        <f t="shared" si="0"/>
        <v>4</v>
      </c>
    </row>
    <row r="30" spans="1:8" x14ac:dyDescent="0.2">
      <c r="A30" s="6" t="s">
        <v>351</v>
      </c>
      <c r="B30" s="7"/>
      <c r="C30" s="7"/>
      <c r="D30" s="7">
        <v>3.6</v>
      </c>
      <c r="E30" s="7"/>
      <c r="F30" s="7"/>
      <c r="G30" s="7"/>
      <c r="H30" s="7">
        <f t="shared" si="0"/>
        <v>3.6</v>
      </c>
    </row>
    <row r="31" spans="1:8" x14ac:dyDescent="0.2">
      <c r="A31" s="6" t="s">
        <v>352</v>
      </c>
      <c r="B31" s="7"/>
      <c r="C31" s="7"/>
      <c r="D31" s="7">
        <v>3.5</v>
      </c>
      <c r="E31" s="7"/>
      <c r="F31" s="7"/>
      <c r="G31" s="7"/>
      <c r="H31" s="7">
        <f t="shared" si="0"/>
        <v>3.5</v>
      </c>
    </row>
    <row r="32" spans="1:8" x14ac:dyDescent="0.2">
      <c r="A32" s="6" t="s">
        <v>353</v>
      </c>
      <c r="B32" s="7"/>
      <c r="C32" s="7"/>
      <c r="D32" s="7">
        <v>4.2</v>
      </c>
      <c r="E32" s="7"/>
      <c r="F32" s="7"/>
      <c r="G32" s="7"/>
      <c r="H32" s="7">
        <f t="shared" si="0"/>
        <v>4.2</v>
      </c>
    </row>
    <row r="33" spans="1:8" x14ac:dyDescent="0.2">
      <c r="A33" s="6" t="s">
        <v>354</v>
      </c>
      <c r="B33" s="7"/>
      <c r="C33" s="7"/>
      <c r="D33" s="7">
        <v>3.6</v>
      </c>
      <c r="E33" s="7"/>
      <c r="F33" s="7"/>
      <c r="G33" s="7"/>
      <c r="H33" s="7">
        <f t="shared" si="0"/>
        <v>3.6</v>
      </c>
    </row>
    <row r="34" spans="1:8" x14ac:dyDescent="0.2">
      <c r="A34" s="6" t="s">
        <v>355</v>
      </c>
      <c r="B34" s="7"/>
      <c r="C34" s="7"/>
      <c r="D34" s="7">
        <v>3.7</v>
      </c>
      <c r="E34" s="7"/>
      <c r="F34" s="7"/>
      <c r="G34" s="7"/>
      <c r="H34" s="7">
        <f t="shared" si="0"/>
        <v>3.7</v>
      </c>
    </row>
    <row r="35" spans="1:8" x14ac:dyDescent="0.2">
      <c r="A35" s="6" t="s">
        <v>356</v>
      </c>
      <c r="B35" s="7"/>
      <c r="C35" s="7"/>
      <c r="D35" s="7">
        <v>4</v>
      </c>
      <c r="E35" s="7"/>
      <c r="F35" s="7"/>
      <c r="G35" s="7"/>
      <c r="H35" s="7">
        <f t="shared" si="0"/>
        <v>4</v>
      </c>
    </row>
    <row r="36" spans="1:8" x14ac:dyDescent="0.2">
      <c r="A36" s="6" t="s">
        <v>357</v>
      </c>
      <c r="B36" s="7"/>
      <c r="C36" s="7"/>
      <c r="D36" s="7">
        <v>4</v>
      </c>
      <c r="E36" s="7"/>
      <c r="F36" s="7"/>
      <c r="G36" s="7"/>
      <c r="H36" s="7">
        <f t="shared" si="0"/>
        <v>4</v>
      </c>
    </row>
    <row r="37" spans="1:8" x14ac:dyDescent="0.2">
      <c r="A37" s="6" t="s">
        <v>358</v>
      </c>
      <c r="B37" s="7"/>
      <c r="C37" s="7"/>
      <c r="D37" s="7">
        <v>4</v>
      </c>
      <c r="E37" s="7"/>
      <c r="F37" s="7"/>
      <c r="G37" s="7"/>
      <c r="H37" s="7">
        <f t="shared" si="0"/>
        <v>4</v>
      </c>
    </row>
    <row r="38" spans="1:8" x14ac:dyDescent="0.2">
      <c r="A38" s="6" t="s">
        <v>359</v>
      </c>
      <c r="B38" s="7"/>
      <c r="C38" s="7"/>
      <c r="D38" s="7">
        <v>3.6</v>
      </c>
      <c r="E38" s="7"/>
      <c r="F38" s="7"/>
      <c r="G38" s="7"/>
      <c r="H38" s="7">
        <f t="shared" si="0"/>
        <v>3.6</v>
      </c>
    </row>
    <row r="39" spans="1:8" x14ac:dyDescent="0.2">
      <c r="A39" s="6" t="s">
        <v>360</v>
      </c>
      <c r="B39" s="7"/>
      <c r="C39" s="7"/>
      <c r="D39" s="7">
        <v>6.7</v>
      </c>
      <c r="E39" s="7"/>
      <c r="F39" s="7"/>
      <c r="G39" s="7"/>
      <c r="H39" s="7">
        <f t="shared" si="0"/>
        <v>6.7</v>
      </c>
    </row>
    <row r="40" spans="1:8" x14ac:dyDescent="0.2">
      <c r="A40" s="6" t="s">
        <v>361</v>
      </c>
      <c r="B40" s="7"/>
      <c r="C40" s="7"/>
      <c r="D40" s="7">
        <v>4.2</v>
      </c>
      <c r="E40" s="7"/>
      <c r="F40" s="7"/>
      <c r="G40" s="7"/>
      <c r="H40" s="7">
        <f t="shared" si="0"/>
        <v>4.2</v>
      </c>
    </row>
    <row r="41" spans="1:8" x14ac:dyDescent="0.2">
      <c r="A41" s="6" t="s">
        <v>362</v>
      </c>
      <c r="B41" s="7"/>
      <c r="C41" s="7"/>
      <c r="D41" s="7">
        <v>3.8</v>
      </c>
      <c r="E41" s="7"/>
      <c r="F41" s="7"/>
      <c r="G41" s="7"/>
      <c r="H41" s="7">
        <f t="shared" si="0"/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Общийе остатки</vt:lpstr>
      <vt:lpstr>SOTILDI</vt:lpstr>
      <vt:lpstr>mix</vt:lpstr>
      <vt:lpstr>BLACKOUT</vt:lpstr>
      <vt:lpstr>сеточный тюль</vt:lpstr>
      <vt:lpstr>SHANEL</vt:lpstr>
      <vt:lpstr>классика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2025-09-11T09:20:10Z</dcterms:created>
  <dcterms:modified xsi:type="dcterms:W3CDTF">2025-11-13T04:15:13Z</dcterms:modified>
</cp:coreProperties>
</file>